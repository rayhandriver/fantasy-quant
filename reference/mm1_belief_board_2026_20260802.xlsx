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Belief board" sheetId="2" state="visible" r:id="rId2"/>
  </sheets>
  <definedNames>
    <definedName name="_xlnm._FilterDatabase" localSheetId="1" hidden="1">'Belief board'!$A$2:$AC$152</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1"/>
    </font>
    <font>
      <b val="1"/>
      <sz val="10"/>
    </font>
    <font>
      <i val="1"/>
      <color rgb="00595959"/>
    </font>
    <font>
      <b val="1"/>
      <sz val="13"/>
    </font>
  </fonts>
  <fills count="10">
    <fill>
      <patternFill/>
    </fill>
    <fill>
      <patternFill patternType="gray125"/>
    </fill>
    <fill>
      <patternFill patternType="solid">
        <fgColor rgb="00D9D9D9"/>
      </patternFill>
    </fill>
    <fill>
      <patternFill patternType="solid">
        <fgColor rgb="00DDEBF7"/>
      </patternFill>
    </fill>
    <fill>
      <patternFill patternType="solid">
        <fgColor rgb="00E2EFDA"/>
      </patternFill>
    </fill>
    <fill>
      <patternFill patternType="solid">
        <fgColor rgb="00FFF2CC"/>
      </patternFill>
    </fill>
    <fill>
      <patternFill patternType="solid">
        <fgColor rgb="00EAD1DC"/>
      </patternFill>
    </fill>
    <fill>
      <patternFill patternType="solid">
        <fgColor rgb="00FFF9B1"/>
      </patternFill>
    </fill>
    <fill>
      <patternFill patternType="solid">
        <fgColor rgb="00FFFDE7"/>
      </patternFill>
    </fill>
    <fill>
      <patternFill patternType="solid">
        <fgColor rgb="00F2F2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0">
    <xf numFmtId="0" fontId="0" fillId="0" borderId="0" pivotButton="0" quotePrefix="0" xfId="0"/>
    <xf numFmtId="0" fontId="4" fillId="0" borderId="0" applyAlignment="1" pivotButton="0" quotePrefix="0" xfId="0">
      <alignment vertical="top" wrapText="1"/>
    </xf>
    <xf numFmtId="0" fontId="0" fillId="0" borderId="0" applyAlignment="1" pivotButton="0" quotePrefix="0" xfId="0">
      <alignment vertical="top" wrapText="1"/>
    </xf>
    <xf numFmtId="0" fontId="1" fillId="2" borderId="0" applyAlignment="1" pivotButton="0" quotePrefix="0" xfId="0">
      <alignment horizontal="center"/>
    </xf>
    <xf numFmtId="0" fontId="1" fillId="3" borderId="0" applyAlignment="1" pivotButton="0" quotePrefix="0" xfId="0">
      <alignment horizontal="center"/>
    </xf>
    <xf numFmtId="0" fontId="1" fillId="4" borderId="0" applyAlignment="1" pivotButton="0" quotePrefix="0" xfId="0">
      <alignment horizontal="center"/>
    </xf>
    <xf numFmtId="0" fontId="1" fillId="5" borderId="0" applyAlignment="1" pivotButton="0" quotePrefix="0" xfId="0">
      <alignment horizontal="center"/>
    </xf>
    <xf numFmtId="0" fontId="1" fillId="6" borderId="0" applyAlignment="1" pivotButton="0" quotePrefix="0" xfId="0">
      <alignment horizontal="center"/>
    </xf>
    <xf numFmtId="0" fontId="1" fillId="7" borderId="0" applyAlignment="1" pivotButton="0" quotePrefix="0" xfId="0">
      <alignment horizontal="center"/>
    </xf>
    <xf numFmtId="0" fontId="2"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2"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xf numFmtId="0" fontId="0" fillId="0" borderId="1" pivotButton="0" quotePrefix="0" xfId="0"/>
    <xf numFmtId="0" fontId="0" fillId="0" borderId="1" applyAlignment="1" pivotButton="0" quotePrefix="0" xfId="0">
      <alignment vertical="top" wrapText="1"/>
    </xf>
    <xf numFmtId="0" fontId="0" fillId="8" borderId="1" pivotButton="0" quotePrefix="0" xfId="0"/>
    <xf numFmtId="0" fontId="3" fillId="9" borderId="1" applyAlignment="1" pivotButton="0" quotePrefix="0" xfId="0">
      <alignment horizontal="center"/>
    </xf>
    <xf numFmtId="0" fontId="0" fillId="8" borderId="1" applyAlignment="1" pivotButton="0" quotePrefix="0" xfId="0">
      <alignment vertical="top" wrapText="1"/>
    </xf>
  </cellXfs>
  <cellStyles count="1">
    <cellStyle name="Normal" xfId="0" builtinId="0" hidden="0"/>
  </cellStyles>
  <dxfs count="5">
    <dxf>
      <fill>
        <patternFill patternType="solid">
          <fgColor rgb="009BC169"/>
        </patternFill>
      </fill>
    </dxf>
    <dxf>
      <fill>
        <patternFill patternType="solid">
          <fgColor rgb="00E2EFDA"/>
        </patternFill>
      </fill>
    </dxf>
    <dxf>
      <fill>
        <patternFill patternType="solid">
          <fgColor rgb="00FFFFFF"/>
        </patternFill>
      </fill>
    </dxf>
    <dxf>
      <fill>
        <patternFill patternType="solid">
          <fgColor rgb="00FCE4D6"/>
        </patternFill>
      </fill>
    </dxf>
    <dxf>
      <fill>
        <patternFill patternType="solid">
          <fgColor rgb="00FFA5A5"/>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8"/>
  <sheetViews>
    <sheetView workbookViewId="0">
      <selection activeCell="A1" sqref="A1"/>
    </sheetView>
  </sheetViews>
  <sheetFormatPr baseColWidth="8" defaultRowHeight="15"/>
  <cols>
    <col width="100" customWidth="1" min="1" max="1"/>
  </cols>
  <sheetData>
    <row r="1">
      <c r="A1" s="1" t="inlineStr">
        <is>
          <t>How to use this workbook</t>
        </is>
      </c>
    </row>
    <row r="2">
      <c r="A2" s="2" t="inlineStr"/>
    </row>
    <row r="3">
      <c r="A3" s="2" t="inlineStr">
        <is>
          <t>One row per player, top-150 by current ADP (10-team, full-PPR). Everything left of "YOUR TAKE" is read from the frozen model — market (ADP), our model (projection, value, availability), risk profile (upside/floor/boom/bust) and situation context (new team, coaching change, new starting QB). Nothing there needs editing.</t>
        </is>
      </c>
    </row>
    <row r="4">
      <c r="A4" s="2" t="inlineStr"/>
    </row>
    <row r="5">
      <c r="A5" s="2" t="inlineStr">
        <is>
          <t>Fill in the yellow "YOUR TAKE" columns for as many players as you have an opinion on — you do not need to do all 150. The ones that matter most for building your personality are the players where you disagree with the ADP or the model, not the obvious ones.</t>
        </is>
      </c>
    </row>
    <row r="6">
      <c r="A6" s="2" t="inlineStr"/>
    </row>
    <row r="7">
      <c r="A7" s="2" t="inlineStr">
        <is>
          <t>The only two columns where you type your own words are "Why (short reason)" and "Notes". Everything else in YOUR TAKE is a dropdown or a plain number, so it is quick to fill in and lands as a clean value with no interpretation needed on the read-back side.</t>
        </is>
      </c>
    </row>
    <row r="8">
      <c r="A8" s="2" t="inlineStr"/>
    </row>
    <row r="9">
      <c r="A9" s="2" t="inlineStr">
        <is>
          <t>Personal Value — click the cell for a dropdown. Very undervalued / Undervalued / Evenly valued / Overvalued / Very overvalued, i.e. how his TRUE value compares to where the market (ADP) currently has him. Undervalued = a target, overvalued = a fade. Colour-coded green→red so you can scan a filled sheet at a glance.</t>
        </is>
      </c>
    </row>
    <row r="10">
      <c r="A10" s="2" t="inlineStr">
        <is>
          <t>Value Score — do not type here. It fills itself in from Personal Value as +2 / +1 / 0 / −1 / −2, so it is ready to sort, chart or feed a model without re-reading the words.</t>
        </is>
      </c>
    </row>
    <row r="11">
      <c r="A11" s="2" t="inlineStr">
        <is>
          <t>Personal ADP (optional #) — only fill this in if you want to be precise about WHERE: the pick number or round you would actually draft him at. Personal Value already carries the direction and rough size of your disagreement, so leave this blank unless a number adds something the dropdown didn't.</t>
        </is>
      </c>
    </row>
    <row r="12">
      <c r="A12" s="2" t="inlineStr">
        <is>
          <t>Confidence (1-5) — dropdown, 1 = pure gut feel, 5 = you would bet on it. This is about how sure you are of THIS opinion, not about how good the player is.</t>
        </is>
      </c>
    </row>
    <row r="13">
      <c r="A13" s="2" t="inlineStr">
        <is>
          <t>Why (short reason) — type a few words for the main driver of your take (e.g. "new offense", "injury history", "model is sleeping on his role").</t>
        </is>
      </c>
    </row>
    <row r="14">
      <c r="A14" s="2" t="inlineStr">
        <is>
          <t>Notes — free text, as long as you want. Say exactly what you believe and why — this is the column the model reads most closely; everything else here is structure around it.</t>
        </is>
      </c>
    </row>
    <row r="15">
      <c r="A15" s="2" t="inlineStr"/>
    </row>
    <row r="16">
      <c r="A16" s="2" t="inlineStr">
        <is>
          <t>"Model vs ADP" (OUR MODEL, not yours) = your ADP rank minus our value-board rank. Positive means our model likes him more than the market does (a value by our model); negative means the market likes him more than our model does. Compare it to your own Personal Value to see where you and the model agree or split.</t>
        </is>
      </c>
    </row>
    <row r="17">
      <c r="A17" s="2" t="inlineStr"/>
    </row>
    <row r="18">
      <c r="A18" s="2" t="inlineStr">
        <is>
          <t>Generated 2026-08-02 from the live 2026 board. Re-run `uv run --extra reports python steps/mm1_elicitation_board.py` for a fresh copy rather than editing a stale one in place once the board has moved.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C152"/>
  <sheetViews>
    <sheetView workbookViewId="0">
      <pane xSplit="4" ySplit="2" topLeftCell="E3" activePane="bottomRight" state="frozen"/>
      <selection pane="topRight"/>
      <selection pane="bottomLeft"/>
      <selection pane="bottomRight" activeCell="A1" sqref="A1"/>
    </sheetView>
  </sheetViews>
  <sheetFormatPr baseColWidth="8" defaultRowHeight="15"/>
  <cols>
    <col width="9" customWidth="1" min="1" max="1"/>
    <col width="22" customWidth="1" min="2" max="2"/>
    <col width="6" customWidth="1" min="3" max="3"/>
    <col width="6" customWidth="1" min="4" max="4"/>
    <col width="6" customWidth="1" min="5" max="5"/>
    <col width="8" customWidth="1" min="6" max="6"/>
    <col width="8" customWidth="1" min="7" max="7"/>
    <col width="9" customWidth="1" min="8" max="8"/>
    <col width="9" customWidth="1" min="9" max="9"/>
    <col width="10" customWidth="1" min="10" max="10"/>
    <col width="10" customWidth="1" min="11" max="11"/>
    <col width="11" customWidth="1" min="12" max="12"/>
    <col width="11" customWidth="1" min="13" max="13"/>
    <col width="11" customWidth="1" min="14" max="14"/>
    <col width="10" customWidth="1" min="15" max="15"/>
    <col width="8" customWidth="1" min="16" max="16"/>
    <col width="8" customWidth="1" min="17" max="17"/>
    <col width="12" customWidth="1" min="18" max="18"/>
    <col width="10" customWidth="1" min="19" max="19"/>
    <col width="10" customWidth="1" min="20" max="20"/>
    <col width="10" customWidth="1" min="21" max="21"/>
    <col width="14" customWidth="1" min="22" max="22"/>
    <col width="44" customWidth="1" min="23" max="23"/>
    <col width="17" customWidth="1" min="24" max="24"/>
    <col width="10" customWidth="1" min="25" max="25"/>
    <col width="14" customWidth="1" min="26" max="26"/>
    <col width="12" customWidth="1" min="27" max="27"/>
    <col width="30" customWidth="1" min="28" max="28"/>
    <col width="60" customWidth="1" min="29" max="29"/>
  </cols>
  <sheetData>
    <row r="1">
      <c r="A1" s="3" t="inlineStr">
        <is>
          <t>IDENTITY</t>
        </is>
      </c>
      <c r="G1" s="4" t="inlineStr">
        <is>
          <t>MARKET</t>
        </is>
      </c>
      <c r="I1" s="5" t="inlineStr">
        <is>
          <t>OUR MODEL</t>
        </is>
      </c>
      <c r="P1" s="6" t="inlineStr">
        <is>
          <t>RISK PROFILE</t>
        </is>
      </c>
      <c r="V1" s="7" t="inlineStr">
        <is>
          <t>SITUATION</t>
        </is>
      </c>
      <c r="X1" s="8" t="inlineStr">
        <is>
          <t>YOUR TAKE</t>
        </is>
      </c>
    </row>
    <row r="2" ht="30" customHeight="1">
      <c r="A2" s="9" t="inlineStr">
        <is>
          <t>Rank (ADP)</t>
        </is>
      </c>
      <c r="B2" s="9" t="inlineStr">
        <is>
          <t>Player</t>
        </is>
      </c>
      <c r="C2" s="9" t="inlineStr">
        <is>
          <t>Pos</t>
        </is>
      </c>
      <c r="D2" s="9" t="inlineStr">
        <is>
          <t>Team</t>
        </is>
      </c>
      <c r="E2" s="9" t="inlineStr">
        <is>
          <t>Bye</t>
        </is>
      </c>
      <c r="F2" s="9" t="inlineStr">
        <is>
          <t>Rookie</t>
        </is>
      </c>
      <c r="G2" s="10" t="inlineStr">
        <is>
          <t>ADP</t>
        </is>
      </c>
      <c r="H2" s="10" t="inlineStr">
        <is>
          <t>Round (10-tm)</t>
        </is>
      </c>
      <c r="I2" s="11" t="inlineStr">
        <is>
          <t>Proj Pts</t>
        </is>
      </c>
      <c r="J2" s="11" t="inlineStr">
        <is>
          <t>Model Mean</t>
        </is>
      </c>
      <c r="K2" s="11" t="inlineStr">
        <is>
          <t>Games Est /17</t>
        </is>
      </c>
      <c r="L2" s="11" t="inlineStr">
        <is>
          <t>Our Value Rank</t>
        </is>
      </c>
      <c r="M2" s="11" t="inlineStr">
        <is>
          <t>Model vs ADP</t>
        </is>
      </c>
      <c r="N2" s="11" t="inlineStr">
        <is>
          <t>TD Regression</t>
        </is>
      </c>
      <c r="O2" s="11" t="inlineStr">
        <is>
          <t>Role Trend</t>
        </is>
      </c>
      <c r="P2" s="12" t="inlineStr">
        <is>
          <t>Upside</t>
        </is>
      </c>
      <c r="Q2" s="12" t="inlineStr">
        <is>
          <t>Floor</t>
        </is>
      </c>
      <c r="R2" s="12" t="inlineStr">
        <is>
          <t>Boom/Bust Spread</t>
        </is>
      </c>
      <c r="S2" s="12" t="inlineStr">
        <is>
          <t>Boom % (live)</t>
        </is>
      </c>
      <c r="T2" s="12" t="inlineStr">
        <is>
          <t>Bust % (live)</t>
        </is>
      </c>
      <c r="U2" s="12" t="inlineStr">
        <is>
          <t>Durability</t>
        </is>
      </c>
      <c r="V2" s="13" t="inlineStr">
        <is>
          <t>Situation</t>
        </is>
      </c>
      <c r="W2" s="13" t="inlineStr">
        <is>
          <t>Situation Notes</t>
        </is>
      </c>
      <c r="X2" s="14" t="inlineStr">
        <is>
          <t>Personal Value</t>
        </is>
      </c>
      <c r="Y2" s="14" t="inlineStr">
        <is>
          <t>Value Score</t>
        </is>
      </c>
      <c r="Z2" s="14" t="inlineStr">
        <is>
          <t>Personal ADP (optional #)</t>
        </is>
      </c>
      <c r="AA2" s="14" t="inlineStr">
        <is>
          <t>Confidence (1-5)</t>
        </is>
      </c>
      <c r="AB2" s="14" t="inlineStr">
        <is>
          <t>Why (short reason)</t>
        </is>
      </c>
      <c r="AC2" s="14" t="inlineStr">
        <is>
          <t>Notes — what you actually believe</t>
        </is>
      </c>
    </row>
    <row r="3">
      <c r="A3" s="15" t="n">
        <v>1</v>
      </c>
      <c r="B3" s="15" t="inlineStr">
        <is>
          <t>Jahmyr Gibbs</t>
        </is>
      </c>
      <c r="C3" s="15" t="inlineStr">
        <is>
          <t>RB</t>
        </is>
      </c>
      <c r="D3" s="15" t="inlineStr">
        <is>
          <t>DET</t>
        </is>
      </c>
      <c r="E3" s="15" t="n">
        <v>6</v>
      </c>
      <c r="F3" s="15" t="inlineStr"/>
      <c r="G3" s="15" t="n">
        <v>1.6</v>
      </c>
      <c r="H3" s="15" t="n">
        <v>1</v>
      </c>
      <c r="I3" s="15" t="n">
        <v>372.2</v>
      </c>
      <c r="J3" s="15" t="n">
        <v>265.2</v>
      </c>
      <c r="K3" s="15" t="n">
        <v>13.4</v>
      </c>
      <c r="L3" s="15" t="n">
        <v>1</v>
      </c>
      <c r="M3" s="15" t="n">
        <v>0</v>
      </c>
      <c r="N3" s="15" t="n">
        <v>0.52</v>
      </c>
      <c r="O3" s="15" t="n">
        <v>0.1</v>
      </c>
      <c r="P3" s="15" t="n">
        <v>-0.47</v>
      </c>
      <c r="Q3" s="15" t="n">
        <v>0.41</v>
      </c>
      <c r="R3" s="15" t="n">
        <v>-0.47</v>
      </c>
      <c r="S3" s="15" t="n">
        <v>0.41</v>
      </c>
      <c r="T3" s="15" t="n">
        <v>0.06</v>
      </c>
      <c r="U3" s="15" t="n">
        <v>0.41</v>
      </c>
      <c r="V3" s="15" t="inlineStr">
        <is>
          <t>Room change</t>
        </is>
      </c>
      <c r="W3" s="16" t="inlineStr">
        <is>
          <t>New play-caller: Drew Petzing. Arrivals in the room: Isiah Pacheco. Departures: David Montgomery.</t>
        </is>
      </c>
      <c r="X3" s="17" t="n"/>
      <c r="Y3" s="18">
        <f>IFS(X3="","",X3="Very undervalued",2, X3="Undervalued",1, X3="Evenly valued",0, X3="Overvalued",-1, X3="Very overvalued",-2,TRUE,"")</f>
        <v/>
      </c>
      <c r="Z3" s="17" t="n"/>
      <c r="AA3" s="17" t="n"/>
      <c r="AB3" s="19" t="n"/>
      <c r="AC3" s="19" t="n"/>
    </row>
    <row r="4">
      <c r="A4" s="15" t="n">
        <v>2</v>
      </c>
      <c r="B4" s="15" t="inlineStr">
        <is>
          <t>Bijan Robinson</t>
        </is>
      </c>
      <c r="C4" s="15" t="inlineStr">
        <is>
          <t>RB</t>
        </is>
      </c>
      <c r="D4" s="15" t="inlineStr">
        <is>
          <t>ATL</t>
        </is>
      </c>
      <c r="E4" s="15" t="n">
        <v>11</v>
      </c>
      <c r="F4" s="15" t="inlineStr"/>
      <c r="G4" s="15" t="n">
        <v>2</v>
      </c>
      <c r="H4" s="15" t="n">
        <v>1</v>
      </c>
      <c r="I4" s="15" t="n">
        <v>370.4</v>
      </c>
      <c r="J4" s="15" t="n">
        <v>265.1</v>
      </c>
      <c r="K4" s="15" t="n">
        <v>13.4</v>
      </c>
      <c r="L4" s="15" t="n">
        <v>2</v>
      </c>
      <c r="M4" s="15" t="n">
        <v>0</v>
      </c>
      <c r="N4" s="15" t="n">
        <v>0.24</v>
      </c>
      <c r="O4" s="15" t="n">
        <v>0.03</v>
      </c>
      <c r="P4" s="15" t="n">
        <v>-0.41</v>
      </c>
      <c r="Q4" s="15" t="n">
        <v>0.35</v>
      </c>
      <c r="R4" s="15" t="n">
        <v>-0.35</v>
      </c>
      <c r="S4" s="15" t="n">
        <v>0.53</v>
      </c>
      <c r="T4" s="15" t="n">
        <v>0.06</v>
      </c>
      <c r="U4" s="15" t="n">
        <v>0.35</v>
      </c>
      <c r="V4" s="15" t="inlineStr">
        <is>
          <t>Room change</t>
        </is>
      </c>
      <c r="W4" s="16" t="inlineStr">
        <is>
          <t>New play-caller: Kevin Stefanski. New starting QB: unsettled QB competition. Arrivals in the room: Brian Robinson Jr.. Departures: Tyler Allgeier.</t>
        </is>
      </c>
      <c r="X4" s="17" t="n"/>
      <c r="Y4" s="18">
        <f>IFS(X4="","",X4="Very undervalued",2, X4="Undervalued",1, X4="Evenly valued",0, X4="Overvalued",-1, X4="Very overvalued",-2,TRUE,"")</f>
        <v/>
      </c>
      <c r="Z4" s="17" t="n"/>
      <c r="AA4" s="17" t="n"/>
      <c r="AB4" s="19" t="n"/>
      <c r="AC4" s="19" t="n"/>
    </row>
    <row r="5">
      <c r="A5" s="15" t="n">
        <v>3</v>
      </c>
      <c r="B5" s="15" t="inlineStr">
        <is>
          <t>Puka Nacua</t>
        </is>
      </c>
      <c r="C5" s="15" t="inlineStr">
        <is>
          <t>WR</t>
        </is>
      </c>
      <c r="D5" s="15" t="inlineStr">
        <is>
          <t>LAR</t>
        </is>
      </c>
      <c r="E5" s="15" t="n">
        <v>11</v>
      </c>
      <c r="F5" s="15" t="inlineStr"/>
      <c r="G5" s="15" t="n">
        <v>2.6</v>
      </c>
      <c r="H5" s="15" t="n">
        <v>1</v>
      </c>
      <c r="I5" s="15" t="n">
        <v>355.8</v>
      </c>
      <c r="J5" s="15" t="n">
        <v>264.1</v>
      </c>
      <c r="K5" s="15" t="n">
        <v>13.4</v>
      </c>
      <c r="L5" s="15" t="n">
        <v>3</v>
      </c>
      <c r="M5" s="15" t="n">
        <v>0</v>
      </c>
      <c r="N5" s="15" t="n">
        <v>0.47</v>
      </c>
      <c r="O5" s="15" t="n">
        <v>0.11</v>
      </c>
      <c r="P5" s="15" t="n">
        <v>-0.38</v>
      </c>
      <c r="Q5" s="15" t="n">
        <v>0.14</v>
      </c>
      <c r="R5" s="15" t="n">
        <v>-0.38</v>
      </c>
      <c r="S5" s="15" t="n">
        <v>0.62</v>
      </c>
      <c r="T5" s="15" t="n">
        <v>0.06</v>
      </c>
      <c r="U5" s="15" t="n">
        <v>0.05</v>
      </c>
      <c r="V5" s="15" t="inlineStr"/>
      <c r="W5" s="16" t="inlineStr"/>
      <c r="X5" s="17" t="n"/>
      <c r="Y5" s="18">
        <f>IFS(X5="","",X5="Very undervalued",2, X5="Undervalued",1, X5="Evenly valued",0, X5="Overvalued",-1, X5="Very overvalued",-2,TRUE,"")</f>
        <v/>
      </c>
      <c r="Z5" s="17" t="n"/>
      <c r="AA5" s="17" t="n"/>
      <c r="AB5" s="19" t="n"/>
      <c r="AC5" s="19" t="n"/>
    </row>
    <row r="6">
      <c r="A6" s="15" t="n">
        <v>4</v>
      </c>
      <c r="B6" s="15" t="inlineStr">
        <is>
          <t>Ja'Marr Chase</t>
        </is>
      </c>
      <c r="C6" s="15" t="inlineStr">
        <is>
          <t>WR</t>
        </is>
      </c>
      <c r="D6" s="15" t="inlineStr">
        <is>
          <t>CIN</t>
        </is>
      </c>
      <c r="E6" s="15" t="n">
        <v>6</v>
      </c>
      <c r="F6" s="15" t="inlineStr"/>
      <c r="G6" s="15" t="n">
        <v>4.1</v>
      </c>
      <c r="H6" s="15" t="n">
        <v>1</v>
      </c>
      <c r="I6" s="15" t="n">
        <v>335.5</v>
      </c>
      <c r="J6" s="15" t="n">
        <v>248.4</v>
      </c>
      <c r="K6" s="15" t="n">
        <v>13.3</v>
      </c>
      <c r="L6" s="15" t="n">
        <v>6</v>
      </c>
      <c r="M6" s="15" t="n">
        <v>-2</v>
      </c>
      <c r="N6" s="15" t="n">
        <v>0.22</v>
      </c>
      <c r="O6" s="15" t="n">
        <v>0.12</v>
      </c>
      <c r="P6" s="15" t="n">
        <v>-0.48</v>
      </c>
      <c r="Q6" s="15" t="n">
        <v>0.11</v>
      </c>
      <c r="R6" s="15" t="n">
        <v>-0.43</v>
      </c>
      <c r="S6" s="15" t="n">
        <v>0.5</v>
      </c>
      <c r="T6" s="15" t="n">
        <v>0.12</v>
      </c>
      <c r="U6" s="15" t="n">
        <v>-0.02</v>
      </c>
      <c r="V6" s="15" t="inlineStr"/>
      <c r="W6" s="16" t="inlineStr"/>
      <c r="X6" s="17" t="n"/>
      <c r="Y6" s="18">
        <f>IFS(X6="","",X6="Very undervalued",2, X6="Undervalued",1, X6="Evenly valued",0, X6="Overvalued",-1, X6="Very overvalued",-2,TRUE,"")</f>
        <v/>
      </c>
      <c r="Z6" s="17" t="n"/>
      <c r="AA6" s="17" t="n"/>
      <c r="AB6" s="19" t="n"/>
      <c r="AC6" s="19" t="n"/>
    </row>
    <row r="7">
      <c r="A7" s="15" t="n">
        <v>5</v>
      </c>
      <c r="B7" s="15" t="inlineStr">
        <is>
          <t>Christian McCaffrey</t>
        </is>
      </c>
      <c r="C7" s="15" t="inlineStr">
        <is>
          <t>RB</t>
        </is>
      </c>
      <c r="D7" s="15" t="inlineStr">
        <is>
          <t>SF</t>
        </is>
      </c>
      <c r="E7" s="15" t="n">
        <v>8</v>
      </c>
      <c r="F7" s="15" t="inlineStr"/>
      <c r="G7" s="15" t="n">
        <v>4.9</v>
      </c>
      <c r="H7" s="15" t="n">
        <v>1</v>
      </c>
      <c r="I7" s="15" t="n">
        <v>342.7</v>
      </c>
      <c r="J7" s="15" t="n">
        <v>235.6</v>
      </c>
      <c r="K7" s="15" t="n">
        <v>12.9</v>
      </c>
      <c r="L7" s="15" t="n">
        <v>4</v>
      </c>
      <c r="M7" s="15" t="n">
        <v>1</v>
      </c>
      <c r="N7" s="15" t="n">
        <v>0.18</v>
      </c>
      <c r="O7" s="15" t="n">
        <v>-0.15</v>
      </c>
      <c r="P7" s="15" t="n">
        <v>-0.14</v>
      </c>
      <c r="Q7" s="15" t="n">
        <v>-0.03</v>
      </c>
      <c r="R7" s="15" t="n">
        <v>-0.03</v>
      </c>
      <c r="S7" s="15" t="n">
        <v>0.71</v>
      </c>
      <c r="T7" s="15" t="n">
        <v>0</v>
      </c>
      <c r="U7" s="15" t="n">
        <v>-0.03</v>
      </c>
      <c r="V7" s="15" t="inlineStr">
        <is>
          <t>Room change</t>
        </is>
      </c>
      <c r="W7" s="16" t="inlineStr">
        <is>
          <t>Arrivals in the room: Kaelon Black. Departures: Brian Robinson Jr..</t>
        </is>
      </c>
      <c r="X7" s="17" t="n"/>
      <c r="Y7" s="18">
        <f>IFS(X7="","",X7="Very undervalued",2, X7="Undervalued",1, X7="Evenly valued",0, X7="Overvalued",-1, X7="Very overvalued",-2,TRUE,"")</f>
        <v/>
      </c>
      <c r="Z7" s="17" t="n"/>
      <c r="AA7" s="17" t="n"/>
      <c r="AB7" s="19" t="n"/>
      <c r="AC7" s="19" t="n"/>
    </row>
    <row r="8">
      <c r="A8" s="15" t="n">
        <v>6</v>
      </c>
      <c r="B8" s="15" t="inlineStr">
        <is>
          <t>Jaxon Smith-Njigba</t>
        </is>
      </c>
      <c r="C8" s="15" t="inlineStr">
        <is>
          <t>WR</t>
        </is>
      </c>
      <c r="D8" s="15" t="inlineStr">
        <is>
          <t>SEA</t>
        </is>
      </c>
      <c r="E8" s="15" t="n">
        <v>11</v>
      </c>
      <c r="F8" s="15" t="inlineStr"/>
      <c r="G8" s="15" t="n">
        <v>6.4</v>
      </c>
      <c r="H8" s="15" t="n">
        <v>1</v>
      </c>
      <c r="I8" s="15" t="n">
        <v>337</v>
      </c>
      <c r="J8" s="15" t="n">
        <v>258</v>
      </c>
      <c r="K8" s="15" t="n">
        <v>13.9</v>
      </c>
      <c r="L8" s="15" t="n">
        <v>5</v>
      </c>
      <c r="M8" s="15" t="n">
        <v>1</v>
      </c>
      <c r="N8" s="15" t="n">
        <v>0.39</v>
      </c>
      <c r="O8" s="15" t="n">
        <v>-0.01</v>
      </c>
      <c r="P8" s="15" t="n">
        <v>-0.43</v>
      </c>
      <c r="Q8" s="15" t="n">
        <v>0.48</v>
      </c>
      <c r="R8" s="15" t="n">
        <v>-0.48</v>
      </c>
      <c r="S8" s="15" t="n">
        <v>0.59</v>
      </c>
      <c r="T8" s="15" t="n">
        <v>0.06</v>
      </c>
      <c r="U8" s="15" t="n">
        <v>0.39</v>
      </c>
      <c r="V8" s="15" t="inlineStr">
        <is>
          <t>Context</t>
        </is>
      </c>
      <c r="W8" s="16" t="inlineStr">
        <is>
          <t>New play-caller: Brian Fleury.</t>
        </is>
      </c>
      <c r="X8" s="17" t="n"/>
      <c r="Y8" s="18">
        <f>IFS(X8="","",X8="Very undervalued",2, X8="Undervalued",1, X8="Evenly valued",0, X8="Overvalued",-1, X8="Very overvalued",-2,TRUE,"")</f>
        <v/>
      </c>
      <c r="Z8" s="17" t="n"/>
      <c r="AA8" s="17" t="n"/>
      <c r="AB8" s="19" t="n"/>
      <c r="AC8" s="19" t="n"/>
    </row>
    <row r="9">
      <c r="A9" s="15" t="n">
        <v>7</v>
      </c>
      <c r="B9" s="15" t="inlineStr">
        <is>
          <t>Jonathan Taylor</t>
        </is>
      </c>
      <c r="C9" s="15" t="inlineStr">
        <is>
          <t>RB</t>
        </is>
      </c>
      <c r="D9" s="15" t="inlineStr">
        <is>
          <t>IND</t>
        </is>
      </c>
      <c r="E9" s="15" t="n">
        <v>13</v>
      </c>
      <c r="F9" s="15" t="inlineStr"/>
      <c r="G9" s="15" t="n">
        <v>7.1</v>
      </c>
      <c r="H9" s="15" t="n">
        <v>1</v>
      </c>
      <c r="I9" s="15" t="n">
        <v>309.8</v>
      </c>
      <c r="J9" s="15" t="n">
        <v>220.8</v>
      </c>
      <c r="K9" s="15" t="n">
        <v>13.2</v>
      </c>
      <c r="L9" s="15" t="n">
        <v>9</v>
      </c>
      <c r="M9" s="15" t="n">
        <v>-2</v>
      </c>
      <c r="N9" s="15" t="n">
        <v>0.62</v>
      </c>
      <c r="O9" s="15" t="n">
        <v>0.13</v>
      </c>
      <c r="P9" s="15" t="n">
        <v>-0.26</v>
      </c>
      <c r="Q9" s="15" t="n">
        <v>0</v>
      </c>
      <c r="R9" s="15" t="n">
        <v>-0.16</v>
      </c>
      <c r="S9" s="15" t="n">
        <v>0.41</v>
      </c>
      <c r="T9" s="15" t="n">
        <v>0.06</v>
      </c>
      <c r="U9" s="15" t="n">
        <v>0.05</v>
      </c>
      <c r="V9" s="15" t="inlineStr"/>
      <c r="W9" s="16" t="inlineStr"/>
      <c r="X9" s="17" t="n"/>
      <c r="Y9" s="18">
        <f>IFS(X9="","",X9="Very undervalued",2, X9="Undervalued",1, X9="Evenly valued",0, X9="Overvalued",-1, X9="Very overvalued",-2,TRUE,"")</f>
        <v/>
      </c>
      <c r="Z9" s="17" t="n"/>
      <c r="AA9" s="17" t="n"/>
      <c r="AB9" s="19" t="n"/>
      <c r="AC9" s="19" t="n"/>
    </row>
    <row r="10">
      <c r="A10" s="15" t="n">
        <v>8</v>
      </c>
      <c r="B10" s="15" t="inlineStr">
        <is>
          <t>Amon-Ra St. Brown</t>
        </is>
      </c>
      <c r="C10" s="15" t="inlineStr">
        <is>
          <t>WR</t>
        </is>
      </c>
      <c r="D10" s="15" t="inlineStr">
        <is>
          <t>DET</t>
        </is>
      </c>
      <c r="E10" s="15" t="n">
        <v>6</v>
      </c>
      <c r="F10" s="15" t="inlineStr"/>
      <c r="G10" s="15" t="n">
        <v>7.6</v>
      </c>
      <c r="H10" s="15" t="n">
        <v>1</v>
      </c>
      <c r="I10" s="15" t="n">
        <v>319.4</v>
      </c>
      <c r="J10" s="15" t="n">
        <v>241.7</v>
      </c>
      <c r="K10" s="15" t="n">
        <v>13.7</v>
      </c>
      <c r="L10" s="15" t="n">
        <v>7</v>
      </c>
      <c r="M10" s="15" t="n">
        <v>1</v>
      </c>
      <c r="N10" s="15" t="n">
        <v>0.23</v>
      </c>
      <c r="O10" s="15" t="n">
        <v>0.03</v>
      </c>
      <c r="P10" s="15" t="n">
        <v>-0.35</v>
      </c>
      <c r="Q10" s="15" t="n">
        <v>0.27</v>
      </c>
      <c r="R10" s="15" t="n">
        <v>-0.31</v>
      </c>
      <c r="S10" s="15" t="n">
        <v>0.41</v>
      </c>
      <c r="T10" s="15" t="n">
        <v>0.06</v>
      </c>
      <c r="U10" s="15" t="n">
        <v>0.23</v>
      </c>
      <c r="V10" s="15" t="inlineStr">
        <is>
          <t>Context</t>
        </is>
      </c>
      <c r="W10" s="16" t="inlineStr">
        <is>
          <t>New play-caller: Drew Petzing.</t>
        </is>
      </c>
      <c r="X10" s="17" t="n"/>
      <c r="Y10" s="18">
        <f>IFS(X10="","",X10="Very undervalued",2, X10="Undervalued",1, X10="Evenly valued",0, X10="Overvalued",-1, X10="Very overvalued",-2,TRUE,"")</f>
        <v/>
      </c>
      <c r="Z10" s="17" t="n"/>
      <c r="AA10" s="17" t="n"/>
      <c r="AB10" s="19" t="n"/>
      <c r="AC10" s="19" t="n"/>
    </row>
    <row r="11">
      <c r="A11" s="15" t="n">
        <v>9</v>
      </c>
      <c r="B11" s="15" t="inlineStr">
        <is>
          <t>De'Von Achane</t>
        </is>
      </c>
      <c r="C11" s="15" t="inlineStr">
        <is>
          <t>RB</t>
        </is>
      </c>
      <c r="D11" s="15" t="inlineStr">
        <is>
          <t>MIA</t>
        </is>
      </c>
      <c r="E11" s="15" t="n">
        <v>6</v>
      </c>
      <c r="F11" s="15" t="inlineStr"/>
      <c r="G11" s="15" t="n">
        <v>9.5</v>
      </c>
      <c r="H11" s="15" t="n">
        <v>1</v>
      </c>
      <c r="I11" s="15" t="n">
        <v>310.3</v>
      </c>
      <c r="J11" s="15" t="n">
        <v>223.6</v>
      </c>
      <c r="K11" s="15" t="n">
        <v>13</v>
      </c>
      <c r="L11" s="15" t="n">
        <v>8</v>
      </c>
      <c r="M11" s="15" t="n">
        <v>1</v>
      </c>
      <c r="N11" s="15" t="n">
        <v>0.37</v>
      </c>
      <c r="O11" s="15" t="n">
        <v>0.24</v>
      </c>
      <c r="P11" s="15" t="n">
        <v>-0.07000000000000001</v>
      </c>
      <c r="Q11" s="15" t="n">
        <v>0.22</v>
      </c>
      <c r="R11" s="15" t="n">
        <v>-0.22</v>
      </c>
      <c r="S11" s="15" t="n">
        <v>0.31</v>
      </c>
      <c r="T11" s="15" t="n">
        <v>0</v>
      </c>
      <c r="U11" s="15" t="n">
        <v>0.03</v>
      </c>
      <c r="V11" s="15" t="inlineStr">
        <is>
          <t>Context</t>
        </is>
      </c>
      <c r="W11" s="16" t="inlineStr">
        <is>
          <t>New play-caller: Bobby Slowik. New starting QB: Malik Willis.</t>
        </is>
      </c>
      <c r="X11" s="17" t="n"/>
      <c r="Y11" s="18">
        <f>IFS(X11="","",X11="Very undervalued",2, X11="Undervalued",1, X11="Evenly valued",0, X11="Overvalued",-1, X11="Very overvalued",-2,TRUE,"")</f>
        <v/>
      </c>
      <c r="Z11" s="17" t="n"/>
      <c r="AA11" s="17" t="n"/>
      <c r="AB11" s="19" t="n"/>
      <c r="AC11" s="19" t="n"/>
    </row>
    <row r="12">
      <c r="A12" s="15" t="n">
        <v>10</v>
      </c>
      <c r="B12" s="15" t="inlineStr">
        <is>
          <t>Drake London</t>
        </is>
      </c>
      <c r="C12" s="15" t="inlineStr">
        <is>
          <t>WR</t>
        </is>
      </c>
      <c r="D12" s="15" t="inlineStr">
        <is>
          <t>ATL</t>
        </is>
      </c>
      <c r="E12" s="15" t="n">
        <v>11</v>
      </c>
      <c r="F12" s="15" t="inlineStr"/>
      <c r="G12" s="15" t="n">
        <v>10.7</v>
      </c>
      <c r="H12" s="15" t="n">
        <v>2</v>
      </c>
      <c r="I12" s="15" t="n">
        <v>289.1</v>
      </c>
      <c r="J12" s="15" t="n">
        <v>189.3</v>
      </c>
      <c r="K12" s="15" t="n">
        <v>11.5</v>
      </c>
      <c r="L12" s="15" t="n">
        <v>11</v>
      </c>
      <c r="M12" s="15" t="n">
        <v>-1</v>
      </c>
      <c r="N12" s="15" t="n">
        <v>0.32</v>
      </c>
      <c r="O12" s="15" t="n">
        <v>0.48</v>
      </c>
      <c r="P12" s="15" t="n">
        <v>0.2</v>
      </c>
      <c r="Q12" s="15" t="n">
        <v>-0.2</v>
      </c>
      <c r="R12" s="15" t="n">
        <v>0.2</v>
      </c>
      <c r="S12" s="15" t="n">
        <v>0.33</v>
      </c>
      <c r="T12" s="15" t="n">
        <v>0.25</v>
      </c>
      <c r="U12" s="15" t="n">
        <v>-0.32</v>
      </c>
      <c r="V12" s="15" t="inlineStr">
        <is>
          <t>Room change</t>
        </is>
      </c>
      <c r="W12" s="16" t="inlineStr">
        <is>
          <t>New play-caller: Kevin Stefanski. New starting QB: unsettled QB competition. Departures: Darnell Mooney.</t>
        </is>
      </c>
      <c r="X12" s="17" t="n"/>
      <c r="Y12" s="18">
        <f>IFS(X12="","",X12="Very undervalued",2, X12="Undervalued",1, X12="Evenly valued",0, X12="Overvalued",-1, X12="Very overvalued",-2,TRUE,"")</f>
        <v/>
      </c>
      <c r="Z12" s="17" t="n"/>
      <c r="AA12" s="17" t="n"/>
      <c r="AB12" s="19" t="n"/>
      <c r="AC12" s="19" t="n"/>
    </row>
    <row r="13">
      <c r="A13" s="15" t="n">
        <v>11</v>
      </c>
      <c r="B13" s="15" t="inlineStr">
        <is>
          <t>CeeDee Lamb</t>
        </is>
      </c>
      <c r="C13" s="15" t="inlineStr">
        <is>
          <t>WR</t>
        </is>
      </c>
      <c r="D13" s="15" t="inlineStr">
        <is>
          <t>DAL</t>
        </is>
      </c>
      <c r="E13" s="15" t="n">
        <v>14</v>
      </c>
      <c r="F13" s="15" t="inlineStr"/>
      <c r="G13" s="15" t="n">
        <v>11.6</v>
      </c>
      <c r="H13" s="15" t="n">
        <v>2</v>
      </c>
      <c r="I13" s="15" t="n">
        <v>273.2</v>
      </c>
      <c r="J13" s="15" t="n">
        <v>189.1</v>
      </c>
      <c r="K13" s="15" t="n">
        <v>11.8</v>
      </c>
      <c r="L13" s="15" t="n">
        <v>20</v>
      </c>
      <c r="M13" s="15" t="n">
        <v>-9</v>
      </c>
      <c r="N13" s="15" t="n">
        <v>-0.03</v>
      </c>
      <c r="O13" s="15" t="n">
        <v>0.14</v>
      </c>
      <c r="P13" s="15" t="n">
        <v>0.1</v>
      </c>
      <c r="Q13" s="15" t="n">
        <v>-0.13</v>
      </c>
      <c r="R13" s="15" t="n">
        <v>0.13</v>
      </c>
      <c r="S13" s="15" t="n">
        <v>0.23</v>
      </c>
      <c r="T13" s="15" t="n">
        <v>0.08</v>
      </c>
      <c r="U13" s="15" t="n">
        <v>-0.21</v>
      </c>
      <c r="V13" s="15" t="inlineStr"/>
      <c r="W13" s="16" t="inlineStr"/>
      <c r="X13" s="17" t="n"/>
      <c r="Y13" s="18">
        <f>IFS(X13="","",X13="Very undervalued",2, X13="Undervalued",1, X13="Evenly valued",0, X13="Overvalued",-1, X13="Very overvalued",-2,TRUE,"")</f>
        <v/>
      </c>
      <c r="Z13" s="17" t="n"/>
      <c r="AA13" s="17" t="n"/>
      <c r="AB13" s="19" t="n"/>
      <c r="AC13" s="19" t="n"/>
    </row>
    <row r="14">
      <c r="A14" s="15" t="n">
        <v>12</v>
      </c>
      <c r="B14" s="15" t="inlineStr">
        <is>
          <t>Ashton Jeanty</t>
        </is>
      </c>
      <c r="C14" s="15" t="inlineStr">
        <is>
          <t>RB</t>
        </is>
      </c>
      <c r="D14" s="15" t="inlineStr">
        <is>
          <t>LV</t>
        </is>
      </c>
      <c r="E14" s="15" t="n">
        <v>13</v>
      </c>
      <c r="F14" s="15" t="inlineStr">
        <is>
          <t>Yes</t>
        </is>
      </c>
      <c r="G14" s="15" t="n">
        <v>13</v>
      </c>
      <c r="H14" s="15" t="n">
        <v>2</v>
      </c>
      <c r="I14" s="15" t="n">
        <v>275</v>
      </c>
      <c r="J14" s="15" t="n">
        <v>211.6</v>
      </c>
      <c r="K14" s="15" t="n">
        <v>13.6</v>
      </c>
      <c r="L14" s="15" t="n">
        <v>14</v>
      </c>
      <c r="M14" s="15" t="n">
        <v>-2</v>
      </c>
      <c r="N14" s="15" t="n">
        <v>0.22</v>
      </c>
      <c r="O14" s="15" t="n">
        <v>-0.05</v>
      </c>
      <c r="P14" s="15" t="n">
        <v>-0.33</v>
      </c>
      <c r="Q14" s="15" t="n">
        <v>0.48</v>
      </c>
      <c r="R14" s="15" t="n">
        <v>-0.43</v>
      </c>
      <c r="S14" s="15" t="n">
        <v>0.18</v>
      </c>
      <c r="T14" s="15" t="n">
        <v>0.12</v>
      </c>
      <c r="U14" s="15" t="n">
        <v>0.48</v>
      </c>
      <c r="V14" s="15" t="inlineStr">
        <is>
          <t>Room change</t>
        </is>
      </c>
      <c r="W14" s="16" t="inlineStr">
        <is>
          <t>New play-caller: Klint Kubiak. New starting QB: Fernando Mendoza. Arrivals in the room: Mike Washington Jr..</t>
        </is>
      </c>
      <c r="X14" s="17" t="n"/>
      <c r="Y14" s="18">
        <f>IFS(X14="","",X14="Very undervalued",2, X14="Undervalued",1, X14="Evenly valued",0, X14="Overvalued",-1, X14="Very overvalued",-2,TRUE,"")</f>
        <v/>
      </c>
      <c r="Z14" s="17" t="n"/>
      <c r="AA14" s="17" t="n"/>
      <c r="AB14" s="19" t="n"/>
      <c r="AC14" s="19" t="n"/>
    </row>
    <row r="15">
      <c r="A15" s="15" t="n">
        <v>13</v>
      </c>
      <c r="B15" s="15" t="inlineStr">
        <is>
          <t>Justin Jefferson</t>
        </is>
      </c>
      <c r="C15" s="15" t="inlineStr">
        <is>
          <t>WR</t>
        </is>
      </c>
      <c r="D15" s="15" t="inlineStr">
        <is>
          <t>MIN</t>
        </is>
      </c>
      <c r="E15" s="15" t="n">
        <v>6</v>
      </c>
      <c r="F15" s="15" t="inlineStr"/>
      <c r="G15" s="15" t="n">
        <v>13.4</v>
      </c>
      <c r="H15" s="15" t="n">
        <v>2</v>
      </c>
      <c r="I15" s="15" t="n">
        <v>269.5</v>
      </c>
      <c r="J15" s="15" t="n">
        <v>213.8</v>
      </c>
      <c r="K15" s="15" t="n">
        <v>13.7</v>
      </c>
      <c r="L15" s="15" t="n">
        <v>22</v>
      </c>
      <c r="M15" s="15" t="n">
        <v>-9</v>
      </c>
      <c r="N15" s="15" t="n">
        <v>-0.11</v>
      </c>
      <c r="O15" s="15" t="n">
        <v>0.05</v>
      </c>
      <c r="P15" s="15" t="n">
        <v>-0.33</v>
      </c>
      <c r="Q15" s="15" t="n">
        <v>0.44</v>
      </c>
      <c r="R15" s="15" t="n">
        <v>-0.37</v>
      </c>
      <c r="S15" s="15" t="n">
        <v>0.06</v>
      </c>
      <c r="T15" s="15" t="n">
        <v>0.18</v>
      </c>
      <c r="U15" s="15" t="n">
        <v>0.22</v>
      </c>
      <c r="V15" s="15" t="inlineStr">
        <is>
          <t>Room change</t>
        </is>
      </c>
      <c r="W15" s="16" t="inlineStr">
        <is>
          <t>New starting QB: Kyler Murray. Arrivals in the room: Jauan Jennings. Departures: Jalen Nailor.</t>
        </is>
      </c>
      <c r="X15" s="17" t="n"/>
      <c r="Y15" s="18">
        <f>IFS(X15="","",X15="Very undervalued",2, X15="Undervalued",1, X15="Evenly valued",0, X15="Overvalued",-1, X15="Very overvalued",-2,TRUE,"")</f>
        <v/>
      </c>
      <c r="Z15" s="17" t="n"/>
      <c r="AA15" s="17" t="n"/>
      <c r="AB15" s="19" t="n"/>
      <c r="AC15" s="19" t="n"/>
    </row>
    <row r="16">
      <c r="A16" s="15" t="n">
        <v>14</v>
      </c>
      <c r="B16" s="15" t="inlineStr">
        <is>
          <t>James Cook III</t>
        </is>
      </c>
      <c r="C16" s="15" t="inlineStr">
        <is>
          <t>RB</t>
        </is>
      </c>
      <c r="D16" s="15" t="inlineStr">
        <is>
          <t>BUF</t>
        </is>
      </c>
      <c r="E16" s="15" t="n">
        <v>7</v>
      </c>
      <c r="F16" s="15" t="inlineStr"/>
      <c r="G16" s="15" t="n">
        <v>14.2</v>
      </c>
      <c r="H16" s="15" t="n">
        <v>2</v>
      </c>
      <c r="I16" s="15" t="n">
        <v>270.2</v>
      </c>
      <c r="J16" s="15" t="n">
        <v>203.2</v>
      </c>
      <c r="K16" s="15" t="n">
        <v>13.2</v>
      </c>
      <c r="L16" s="15" t="n">
        <v>17</v>
      </c>
      <c r="M16" s="15" t="n">
        <v>-3</v>
      </c>
      <c r="N16" s="15" t="n">
        <v>0.39</v>
      </c>
      <c r="O16" s="15" t="n">
        <v>0.35</v>
      </c>
      <c r="P16" s="15" t="n">
        <v>-0.07000000000000001</v>
      </c>
      <c r="Q16" s="15" t="n">
        <v>-0.07000000000000001</v>
      </c>
      <c r="R16" s="15" t="n">
        <v>0.02</v>
      </c>
      <c r="S16" s="15" t="n">
        <v>0.53</v>
      </c>
      <c r="T16" s="15" t="n">
        <v>0.12</v>
      </c>
      <c r="U16" s="15" t="n">
        <v>0.2</v>
      </c>
      <c r="V16" s="15" t="inlineStr"/>
      <c r="W16" s="16" t="inlineStr"/>
      <c r="X16" s="17" t="n"/>
      <c r="Y16" s="18">
        <f>IFS(X16="","",X16="Very undervalued",2, X16="Undervalued",1, X16="Evenly valued",0, X16="Overvalued",-1, X16="Very overvalued",-2,TRUE,"")</f>
        <v/>
      </c>
      <c r="Z16" s="17" t="n"/>
      <c r="AA16" s="17" t="n"/>
      <c r="AB16" s="19" t="n"/>
      <c r="AC16" s="19" t="n"/>
    </row>
    <row r="17">
      <c r="A17" s="15" t="n">
        <v>15</v>
      </c>
      <c r="B17" s="15" t="inlineStr">
        <is>
          <t>Chase Brown</t>
        </is>
      </c>
      <c r="C17" s="15" t="inlineStr">
        <is>
          <t>RB</t>
        </is>
      </c>
      <c r="D17" s="15" t="inlineStr">
        <is>
          <t>CIN</t>
        </is>
      </c>
      <c r="E17" s="15" t="n">
        <v>6</v>
      </c>
      <c r="F17" s="15" t="inlineStr"/>
      <c r="G17" s="15" t="n">
        <v>14.4</v>
      </c>
      <c r="H17" s="15" t="n">
        <v>2</v>
      </c>
      <c r="I17" s="15" t="n">
        <v>277.6</v>
      </c>
      <c r="J17" s="15" t="n">
        <v>207.4</v>
      </c>
      <c r="K17" s="15" t="n">
        <v>13.3</v>
      </c>
      <c r="L17" s="15" t="n">
        <v>13</v>
      </c>
      <c r="M17" s="15" t="n">
        <v>2</v>
      </c>
      <c r="N17" s="15" t="n">
        <v>0.24</v>
      </c>
      <c r="O17" s="15" t="n">
        <v>-0.02</v>
      </c>
      <c r="P17" s="15" t="n">
        <v>-0.39</v>
      </c>
      <c r="Q17" s="15" t="n">
        <v>0.35</v>
      </c>
      <c r="R17" s="15" t="n">
        <v>-0.35</v>
      </c>
      <c r="S17" s="15" t="n">
        <v>0.18</v>
      </c>
      <c r="T17" s="15" t="n">
        <v>0</v>
      </c>
      <c r="U17" s="15" t="n">
        <v>0.22</v>
      </c>
      <c r="V17" s="15" t="inlineStr"/>
      <c r="W17" s="16" t="inlineStr"/>
      <c r="X17" s="17" t="n"/>
      <c r="Y17" s="18">
        <f>IFS(X17="","",X17="Very undervalued",2, X17="Undervalued",1, X17="Evenly valued",0, X17="Overvalued",-1, X17="Very overvalued",-2,TRUE,"")</f>
        <v/>
      </c>
      <c r="Z17" s="17" t="n"/>
      <c r="AA17" s="17" t="n"/>
      <c r="AB17" s="19" t="n"/>
      <c r="AC17" s="19" t="n"/>
    </row>
    <row r="18">
      <c r="A18" s="15" t="n">
        <v>16</v>
      </c>
      <c r="B18" s="15" t="inlineStr">
        <is>
          <t>Derrick Henry</t>
        </is>
      </c>
      <c r="C18" s="15" t="inlineStr">
        <is>
          <t>RB</t>
        </is>
      </c>
      <c r="D18" s="15" t="inlineStr">
        <is>
          <t>BAL</t>
        </is>
      </c>
      <c r="E18" s="15" t="n">
        <v>13</v>
      </c>
      <c r="F18" s="15" t="inlineStr"/>
      <c r="G18" s="15" t="n">
        <v>15.7</v>
      </c>
      <c r="H18" s="15" t="n">
        <v>2</v>
      </c>
      <c r="I18" s="15" t="n">
        <v>273</v>
      </c>
      <c r="J18" s="15" t="n">
        <v>198.1</v>
      </c>
      <c r="K18" s="15" t="n">
        <v>12.7</v>
      </c>
      <c r="L18" s="15" t="n">
        <v>15</v>
      </c>
      <c r="M18" s="15" t="n">
        <v>1</v>
      </c>
      <c r="N18" s="15" t="n">
        <v>0.47</v>
      </c>
      <c r="O18" s="15" t="n">
        <v>0.11</v>
      </c>
      <c r="P18" s="15" t="n">
        <v>0.06</v>
      </c>
      <c r="Q18" s="15" t="n">
        <v>-0.1</v>
      </c>
      <c r="R18" s="15" t="n">
        <v>0.06</v>
      </c>
      <c r="S18" s="15" t="n">
        <v>0.29</v>
      </c>
      <c r="T18" s="15" t="n">
        <v>0.06</v>
      </c>
      <c r="U18" s="15" t="n">
        <v>-0.1</v>
      </c>
      <c r="V18" s="15" t="inlineStr">
        <is>
          <t>Room change</t>
        </is>
      </c>
      <c r="W18" s="16" t="inlineStr">
        <is>
          <t>New play-caller: Declan Doyle. Departures: Keaton Mitchell.</t>
        </is>
      </c>
      <c r="X18" s="17" t="n"/>
      <c r="Y18" s="18">
        <f>IFS(X18="","",X18="Very undervalued",2, X18="Undervalued",1, X18="Evenly valued",0, X18="Overvalued",-1, X18="Very overvalued",-2,TRUE,"")</f>
        <v/>
      </c>
      <c r="Z18" s="17" t="n"/>
      <c r="AA18" s="17" t="n"/>
      <c r="AB18" s="19" t="n"/>
      <c r="AC18" s="19" t="n"/>
    </row>
    <row r="19">
      <c r="A19" s="15" t="n">
        <v>17</v>
      </c>
      <c r="B19" s="15" t="inlineStr">
        <is>
          <t>A.J. Brown</t>
        </is>
      </c>
      <c r="C19" s="15" t="inlineStr">
        <is>
          <t>WR</t>
        </is>
      </c>
      <c r="D19" s="15" t="inlineStr">
        <is>
          <t>NE</t>
        </is>
      </c>
      <c r="E19" s="15" t="n">
        <v>11</v>
      </c>
      <c r="F19" s="15" t="inlineStr"/>
      <c r="G19" s="15" t="n">
        <v>16.9</v>
      </c>
      <c r="H19" s="15" t="n">
        <v>2</v>
      </c>
      <c r="I19" s="15" t="n">
        <v>257.1</v>
      </c>
      <c r="J19" s="15" t="n">
        <v>189.2</v>
      </c>
      <c r="K19" s="15" t="n">
        <v>12.6</v>
      </c>
      <c r="L19" s="15" t="n">
        <v>28</v>
      </c>
      <c r="M19" s="15" t="n">
        <v>-11</v>
      </c>
      <c r="N19" s="15" t="n">
        <v>0.29</v>
      </c>
      <c r="O19" s="15" t="n">
        <v>0.05</v>
      </c>
      <c r="P19" s="15" t="n">
        <v>0.02</v>
      </c>
      <c r="Q19" s="15" t="n">
        <v>-0.05</v>
      </c>
      <c r="R19" s="15" t="n">
        <v>0.05</v>
      </c>
      <c r="S19" s="15" t="n">
        <v>0.27</v>
      </c>
      <c r="T19" s="15" t="n">
        <v>0.2</v>
      </c>
      <c r="U19" s="15" t="n">
        <v>-0.16</v>
      </c>
      <c r="V19" s="15" t="inlineStr">
        <is>
          <t>New team</t>
        </is>
      </c>
      <c r="W19" s="16" t="inlineStr">
        <is>
          <t>Moved from PHI to NE. Arrivals in the room: Romeo Doubs.</t>
        </is>
      </c>
      <c r="X19" s="17" t="n"/>
      <c r="Y19" s="18">
        <f>IFS(X19="","",X19="Very undervalued",2, X19="Undervalued",1, X19="Evenly valued",0, X19="Overvalued",-1, X19="Very overvalued",-2,TRUE,"")</f>
        <v/>
      </c>
      <c r="Z19" s="17" t="n"/>
      <c r="AA19" s="17" t="n"/>
      <c r="AB19" s="19" t="n"/>
      <c r="AC19" s="19" t="n"/>
    </row>
    <row r="20">
      <c r="A20" s="15" t="n">
        <v>18</v>
      </c>
      <c r="B20" s="15" t="inlineStr">
        <is>
          <t>Saquon Barkley</t>
        </is>
      </c>
      <c r="C20" s="15" t="inlineStr">
        <is>
          <t>RB</t>
        </is>
      </c>
      <c r="D20" s="15" t="inlineStr">
        <is>
          <t>PHI</t>
        </is>
      </c>
      <c r="E20" s="15" t="n">
        <v>10</v>
      </c>
      <c r="F20" s="15" t="inlineStr"/>
      <c r="G20" s="15" t="n">
        <v>17.9</v>
      </c>
      <c r="H20" s="15" t="n">
        <v>2</v>
      </c>
      <c r="I20" s="15" t="n">
        <v>265.9</v>
      </c>
      <c r="J20" s="15" t="n">
        <v>190.3</v>
      </c>
      <c r="K20" s="15" t="n">
        <v>12.5</v>
      </c>
      <c r="L20" s="15" t="n">
        <v>18</v>
      </c>
      <c r="M20" s="15" t="n">
        <v>0</v>
      </c>
      <c r="N20" s="15" t="n">
        <v>0.13</v>
      </c>
      <c r="O20" s="15" t="n">
        <v>0.04</v>
      </c>
      <c r="P20" s="15" t="n">
        <v>0.08</v>
      </c>
      <c r="Q20" s="15" t="n">
        <v>-0.16</v>
      </c>
      <c r="R20" s="15" t="n">
        <v>0.12</v>
      </c>
      <c r="S20" s="15" t="n">
        <v>0.12</v>
      </c>
      <c r="T20" s="15" t="n">
        <v>0.12</v>
      </c>
      <c r="U20" s="15" t="n">
        <v>-0.24</v>
      </c>
      <c r="V20" s="15" t="inlineStr">
        <is>
          <t>Context</t>
        </is>
      </c>
      <c r="W20" s="16" t="inlineStr">
        <is>
          <t>New play-caller: Sean Mannion.</t>
        </is>
      </c>
      <c r="X20" s="17" t="n"/>
      <c r="Y20" s="18">
        <f>IFS(X20="","",X20="Very undervalued",2, X20="Undervalued",1, X20="Evenly valued",0, X20="Overvalued",-1, X20="Very overvalued",-2,TRUE,"")</f>
        <v/>
      </c>
      <c r="Z20" s="17" t="n"/>
      <c r="AA20" s="17" t="n"/>
      <c r="AB20" s="19" t="n"/>
      <c r="AC20" s="19" t="n"/>
    </row>
    <row r="21">
      <c r="A21" s="15" t="n">
        <v>19</v>
      </c>
      <c r="B21" s="15" t="inlineStr">
        <is>
          <t>Omarion Hampton</t>
        </is>
      </c>
      <c r="C21" s="15" t="inlineStr">
        <is>
          <t>RB</t>
        </is>
      </c>
      <c r="D21" s="15" t="inlineStr">
        <is>
          <t>LAC</t>
        </is>
      </c>
      <c r="E21" s="15" t="n">
        <v>7</v>
      </c>
      <c r="F21" s="15" t="inlineStr">
        <is>
          <t>Yes</t>
        </is>
      </c>
      <c r="G21" s="15" t="n">
        <v>19.1</v>
      </c>
      <c r="H21" s="15" t="n">
        <v>2</v>
      </c>
      <c r="I21" s="15" t="n">
        <v>264.3</v>
      </c>
      <c r="J21" s="15" t="n">
        <v>139.9</v>
      </c>
      <c r="K21" s="15" t="n">
        <v>9.199999999999999</v>
      </c>
      <c r="L21" s="15" t="n">
        <v>21</v>
      </c>
      <c r="M21" s="15" t="n">
        <v>-2</v>
      </c>
      <c r="N21" s="15" t="n">
        <v>0.16</v>
      </c>
      <c r="O21" s="15" t="n">
        <v>0.16</v>
      </c>
      <c r="P21" s="15" t="n">
        <v>0.37</v>
      </c>
      <c r="Q21" s="15" t="n">
        <v>-0.33</v>
      </c>
      <c r="R21" s="15" t="n">
        <v>0.37</v>
      </c>
      <c r="S21" s="15" t="n">
        <v>0.33</v>
      </c>
      <c r="T21" s="15" t="n">
        <v>0.11</v>
      </c>
      <c r="U21" s="15" t="n">
        <v>-0.44</v>
      </c>
      <c r="V21" s="15" t="inlineStr">
        <is>
          <t>Room change</t>
        </is>
      </c>
      <c r="W21" s="16" t="inlineStr">
        <is>
          <t>New play-caller: Mike McDaniel. Arrivals in the room: Keaton Mitchell.</t>
        </is>
      </c>
      <c r="X21" s="17" t="n"/>
      <c r="Y21" s="18">
        <f>IFS(X21="","",X21="Very undervalued",2, X21="Undervalued",1, X21="Evenly valued",0, X21="Overvalued",-1, X21="Very overvalued",-2,TRUE,"")</f>
        <v/>
      </c>
      <c r="Z21" s="17" t="n"/>
      <c r="AA21" s="17" t="n"/>
      <c r="AB21" s="19" t="n"/>
      <c r="AC21" s="19" t="n"/>
    </row>
    <row r="22">
      <c r="A22" s="15" t="n">
        <v>20</v>
      </c>
      <c r="B22" s="15" t="inlineStr">
        <is>
          <t>Rashee Rice</t>
        </is>
      </c>
      <c r="C22" s="15" t="inlineStr">
        <is>
          <t>WR</t>
        </is>
      </c>
      <c r="D22" s="15" t="inlineStr">
        <is>
          <t>KC</t>
        </is>
      </c>
      <c r="E22" s="15" t="n">
        <v>5</v>
      </c>
      <c r="F22" s="15" t="inlineStr"/>
      <c r="G22" s="15" t="n">
        <v>19.4</v>
      </c>
      <c r="H22" s="15" t="n">
        <v>2</v>
      </c>
      <c r="I22" s="15" t="n">
        <v>273.6</v>
      </c>
      <c r="J22" s="15" t="n">
        <v>140.2</v>
      </c>
      <c r="K22" s="15" t="n">
        <v>8.9</v>
      </c>
      <c r="L22" s="15" t="n">
        <v>19</v>
      </c>
      <c r="M22" s="15" t="n">
        <v>1</v>
      </c>
      <c r="N22" s="15" t="n">
        <v>0.23</v>
      </c>
      <c r="O22" s="15" t="n">
        <v>0.28</v>
      </c>
      <c r="P22" s="15" t="n">
        <v>0.45</v>
      </c>
      <c r="Q22" s="15" t="n">
        <v>-0.31</v>
      </c>
      <c r="R22" s="15" t="n">
        <v>0.31</v>
      </c>
      <c r="S22" s="15" t="n">
        <v>0.5</v>
      </c>
      <c r="T22" s="15" t="n">
        <v>0</v>
      </c>
      <c r="U22" s="15" t="n">
        <v>-0.45</v>
      </c>
      <c r="V22" s="15" t="inlineStr"/>
      <c r="W22" s="16" t="inlineStr"/>
      <c r="X22" s="17" t="n"/>
      <c r="Y22" s="18">
        <f>IFS(X22="","",X22="Very undervalued",2, X22="Undervalued",1, X22="Evenly valued",0, X22="Overvalued",-1, X22="Very overvalued",-2,TRUE,"")</f>
        <v/>
      </c>
      <c r="Z22" s="17" t="n"/>
      <c r="AA22" s="17" t="n"/>
      <c r="AB22" s="19" t="n"/>
      <c r="AC22" s="19" t="n"/>
    </row>
    <row r="23">
      <c r="A23" s="15" t="n">
        <v>21</v>
      </c>
      <c r="B23" s="15" t="inlineStr">
        <is>
          <t>George Pickens</t>
        </is>
      </c>
      <c r="C23" s="15" t="inlineStr">
        <is>
          <t>WR</t>
        </is>
      </c>
      <c r="D23" s="15" t="inlineStr">
        <is>
          <t>DAL</t>
        </is>
      </c>
      <c r="E23" s="15" t="n">
        <v>14</v>
      </c>
      <c r="F23" s="15" t="inlineStr"/>
      <c r="G23" s="15" t="n">
        <v>21.3</v>
      </c>
      <c r="H23" s="15" t="n">
        <v>3</v>
      </c>
      <c r="I23" s="15" t="n">
        <v>252.3</v>
      </c>
      <c r="J23" s="15" t="n">
        <v>203.1</v>
      </c>
      <c r="K23" s="15" t="n">
        <v>13.8</v>
      </c>
      <c r="L23" s="15" t="n">
        <v>30</v>
      </c>
      <c r="M23" s="15" t="n">
        <v>-9</v>
      </c>
      <c r="N23" s="15" t="n">
        <v>0.25</v>
      </c>
      <c r="O23" s="15" t="n">
        <v>0.04</v>
      </c>
      <c r="P23" s="15" t="n">
        <v>-0.28</v>
      </c>
      <c r="Q23" s="15" t="n">
        <v>0.08</v>
      </c>
      <c r="R23" s="15" t="n">
        <v>-0.22</v>
      </c>
      <c r="S23" s="15" t="n">
        <v>0.29</v>
      </c>
      <c r="T23" s="15" t="n">
        <v>0.12</v>
      </c>
      <c r="U23" s="15" t="n">
        <v>0.35</v>
      </c>
      <c r="V23" s="15" t="inlineStr"/>
      <c r="W23" s="16" t="inlineStr"/>
      <c r="X23" s="17" t="n"/>
      <c r="Y23" s="18">
        <f>IFS(X23="","",X23="Very undervalued",2, X23="Undervalued",1, X23="Evenly valued",0, X23="Overvalued",-1, X23="Very overvalued",-2,TRUE,"")</f>
        <v/>
      </c>
      <c r="Z23" s="17" t="n"/>
      <c r="AA23" s="17" t="n"/>
      <c r="AB23" s="19" t="n"/>
      <c r="AC23" s="19" t="n"/>
    </row>
    <row r="24">
      <c r="A24" s="15" t="n">
        <v>22</v>
      </c>
      <c r="B24" s="15" t="inlineStr">
        <is>
          <t>Chris Olave</t>
        </is>
      </c>
      <c r="C24" s="15" t="inlineStr">
        <is>
          <t>WR</t>
        </is>
      </c>
      <c r="D24" s="15" t="inlineStr">
        <is>
          <t>NO</t>
        </is>
      </c>
      <c r="E24" s="15" t="n">
        <v>8</v>
      </c>
      <c r="F24" s="15" t="inlineStr"/>
      <c r="G24" s="15" t="n">
        <v>22.6</v>
      </c>
      <c r="H24" s="15" t="n">
        <v>3</v>
      </c>
      <c r="I24" s="15" t="n">
        <v>257.3</v>
      </c>
      <c r="J24" s="15" t="n">
        <v>201.2</v>
      </c>
      <c r="K24" s="15" t="n">
        <v>13.4</v>
      </c>
      <c r="L24" s="15" t="n">
        <v>27</v>
      </c>
      <c r="M24" s="15" t="n">
        <v>-5</v>
      </c>
      <c r="N24" s="15" t="n">
        <v>0.38</v>
      </c>
      <c r="O24" s="15" t="n">
        <v>0.15</v>
      </c>
      <c r="P24" s="15" t="n">
        <v>-0.32</v>
      </c>
      <c r="Q24" s="15" t="n">
        <v>0.13</v>
      </c>
      <c r="R24" s="15" t="n">
        <v>-0.26</v>
      </c>
      <c r="S24" s="15" t="n">
        <v>0.31</v>
      </c>
      <c r="T24" s="15" t="n">
        <v>0.06</v>
      </c>
      <c r="U24" s="15" t="n">
        <v>0.1</v>
      </c>
      <c r="V24" s="15" t="inlineStr">
        <is>
          <t>Room change</t>
        </is>
      </c>
      <c r="W24" s="16" t="inlineStr">
        <is>
          <t>Arrivals in the room: Jordyn Tyson.</t>
        </is>
      </c>
      <c r="X24" s="17" t="n"/>
      <c r="Y24" s="18">
        <f>IFS(X24="","",X24="Very undervalued",2, X24="Undervalued",1, X24="Evenly valued",0, X24="Overvalued",-1, X24="Very overvalued",-2,TRUE,"")</f>
        <v/>
      </c>
      <c r="Z24" s="17" t="n"/>
      <c r="AA24" s="17" t="n"/>
      <c r="AB24" s="19" t="n"/>
      <c r="AC24" s="19" t="n"/>
    </row>
    <row r="25">
      <c r="A25" s="15" t="n">
        <v>23</v>
      </c>
      <c r="B25" s="15" t="inlineStr">
        <is>
          <t>Jeremiyah Love</t>
        </is>
      </c>
      <c r="C25" s="15" t="inlineStr">
        <is>
          <t>RB</t>
        </is>
      </c>
      <c r="D25" s="15" t="inlineStr">
        <is>
          <t>ARI</t>
        </is>
      </c>
      <c r="E25" s="15" t="n">
        <v>14</v>
      </c>
      <c r="F25" s="15" t="inlineStr">
        <is>
          <t>Yes</t>
        </is>
      </c>
      <c r="G25" s="15" t="n">
        <v>23.9</v>
      </c>
      <c r="H25" s="15" t="n">
        <v>3</v>
      </c>
      <c r="I25" s="15" t="n">
        <v>255.6</v>
      </c>
      <c r="J25" s="15" t="n">
        <v>163.7</v>
      </c>
      <c r="K25" s="15" t="n">
        <v>11.4</v>
      </c>
      <c r="L25" s="15" t="n">
        <v>24</v>
      </c>
      <c r="M25" s="15" t="n">
        <v>-1</v>
      </c>
      <c r="N25" s="15" t="n"/>
      <c r="O25" s="15" t="n"/>
      <c r="P25" s="15" t="n">
        <v>0.26</v>
      </c>
      <c r="Q25" s="15" t="n">
        <v>-0.26</v>
      </c>
      <c r="R25" s="15" t="n">
        <v>0.26</v>
      </c>
      <c r="S25" s="15" t="n"/>
      <c r="T25" s="15" t="n"/>
      <c r="U25" s="15" t="n">
        <v>-0.37</v>
      </c>
      <c r="V25" s="15" t="inlineStr">
        <is>
          <t>Rookie/new to league</t>
        </is>
      </c>
      <c r="W25" s="16" t="inlineStr">
        <is>
          <t>New play-caller: Mike LaFleur. Arrivals in the room: Tyler Allgeier. Departures: Bam Knight, Michael Carter.</t>
        </is>
      </c>
      <c r="X25" s="17" t="n"/>
      <c r="Y25" s="18">
        <f>IFS(X25="","",X25="Very undervalued",2, X25="Undervalued",1, X25="Evenly valued",0, X25="Overvalued",-1, X25="Very overvalued",-2,TRUE,"")</f>
        <v/>
      </c>
      <c r="Z25" s="17" t="n"/>
      <c r="AA25" s="17" t="n"/>
      <c r="AB25" s="19" t="n"/>
      <c r="AC25" s="19" t="n"/>
    </row>
    <row r="26">
      <c r="A26" s="15" t="n">
        <v>24</v>
      </c>
      <c r="B26" s="15" t="inlineStr">
        <is>
          <t>Nico Collins</t>
        </is>
      </c>
      <c r="C26" s="15" t="inlineStr">
        <is>
          <t>WR</t>
        </is>
      </c>
      <c r="D26" s="15" t="inlineStr">
        <is>
          <t>HOU</t>
        </is>
      </c>
      <c r="E26" s="15" t="n">
        <v>8</v>
      </c>
      <c r="F26" s="15" t="inlineStr"/>
      <c r="G26" s="15" t="n">
        <v>24</v>
      </c>
      <c r="H26" s="15" t="n">
        <v>3</v>
      </c>
      <c r="I26" s="15" t="n">
        <v>249.3</v>
      </c>
      <c r="J26" s="15" t="n">
        <v>189.5</v>
      </c>
      <c r="K26" s="15" t="n">
        <v>12.8</v>
      </c>
      <c r="L26" s="15" t="n">
        <v>33</v>
      </c>
      <c r="M26" s="15" t="n">
        <v>-9</v>
      </c>
      <c r="N26" s="15" t="n">
        <v>0.21</v>
      </c>
      <c r="O26" s="15" t="n">
        <v>0.13</v>
      </c>
      <c r="P26" s="15" t="n">
        <v>-0.17</v>
      </c>
      <c r="Q26" s="15" t="n">
        <v>0.08</v>
      </c>
      <c r="R26" s="15" t="n">
        <v>-0.08</v>
      </c>
      <c r="S26" s="15" t="n">
        <v>0.33</v>
      </c>
      <c r="T26" s="15" t="n">
        <v>0.07000000000000001</v>
      </c>
      <c r="U26" s="15" t="n">
        <v>-0.08</v>
      </c>
      <c r="V26" s="15" t="inlineStr">
        <is>
          <t>Room change</t>
        </is>
      </c>
      <c r="W26" s="16" t="inlineStr">
        <is>
          <t>Arrivals in the room: Tank Dell. Departures: Christian Kirk.</t>
        </is>
      </c>
      <c r="X26" s="17" t="n"/>
      <c r="Y26" s="18">
        <f>IFS(X26="","",X26="Very undervalued",2, X26="Undervalued",1, X26="Evenly valued",0, X26="Overvalued",-1, X26="Very overvalued",-2,TRUE,"")</f>
        <v/>
      </c>
      <c r="Z26" s="17" t="n"/>
      <c r="AA26" s="17" t="n"/>
      <c r="AB26" s="19" t="n"/>
      <c r="AC26" s="19" t="n"/>
    </row>
    <row r="27">
      <c r="A27" s="15" t="n">
        <v>25</v>
      </c>
      <c r="B27" s="15" t="inlineStr">
        <is>
          <t>Josh Jacobs</t>
        </is>
      </c>
      <c r="C27" s="15" t="inlineStr">
        <is>
          <t>RB</t>
        </is>
      </c>
      <c r="D27" s="15" t="inlineStr">
        <is>
          <t>GB</t>
        </is>
      </c>
      <c r="E27" s="15" t="n">
        <v>11</v>
      </c>
      <c r="F27" s="15" t="inlineStr"/>
      <c r="G27" s="15" t="n">
        <v>24.6</v>
      </c>
      <c r="H27" s="15" t="n">
        <v>3</v>
      </c>
      <c r="I27" s="15" t="n">
        <v>256.8</v>
      </c>
      <c r="J27" s="15" t="n">
        <v>178.6</v>
      </c>
      <c r="K27" s="15" t="n">
        <v>12.1</v>
      </c>
      <c r="L27" s="15" t="n">
        <v>23</v>
      </c>
      <c r="M27" s="15" t="n">
        <v>2</v>
      </c>
      <c r="N27" s="15" t="n">
        <v>0.44</v>
      </c>
      <c r="O27" s="15" t="n">
        <v>0.21</v>
      </c>
      <c r="P27" s="15" t="n">
        <v>0.16</v>
      </c>
      <c r="Q27" s="15" t="n">
        <v>-0.16</v>
      </c>
      <c r="R27" s="15" t="n">
        <v>0.16</v>
      </c>
      <c r="S27" s="15" t="n">
        <v>0.2</v>
      </c>
      <c r="T27" s="15" t="n">
        <v>0.2</v>
      </c>
      <c r="U27" s="15" t="n">
        <v>-0.3</v>
      </c>
      <c r="V27" s="15" t="inlineStr">
        <is>
          <t>Room change</t>
        </is>
      </c>
      <c r="W27" s="16" t="inlineStr">
        <is>
          <t>Arrivals in the room: MarShawn Lloyd.</t>
        </is>
      </c>
      <c r="X27" s="17" t="n"/>
      <c r="Y27" s="18">
        <f>IFS(X27="","",X27="Very undervalued",2, X27="Undervalued",1, X27="Evenly valued",0, X27="Overvalued",-1, X27="Very overvalued",-2,TRUE,"")</f>
        <v/>
      </c>
      <c r="Z27" s="17" t="n"/>
      <c r="AA27" s="17" t="n"/>
      <c r="AB27" s="19" t="n"/>
      <c r="AC27" s="19" t="n"/>
    </row>
    <row r="28">
      <c r="A28" s="15" t="n">
        <v>26</v>
      </c>
      <c r="B28" s="15" t="inlineStr">
        <is>
          <t>Kenneth Walker III</t>
        </is>
      </c>
      <c r="C28" s="15" t="inlineStr">
        <is>
          <t>RB</t>
        </is>
      </c>
      <c r="D28" s="15" t="inlineStr">
        <is>
          <t>KC</t>
        </is>
      </c>
      <c r="E28" s="15" t="n">
        <v>5</v>
      </c>
      <c r="F28" s="15" t="inlineStr"/>
      <c r="G28" s="15" t="n">
        <v>25.2</v>
      </c>
      <c r="H28" s="15" t="n">
        <v>3</v>
      </c>
      <c r="I28" s="15" t="n">
        <v>251.8</v>
      </c>
      <c r="J28" s="15" t="n">
        <v>194.9</v>
      </c>
      <c r="K28" s="15" t="n">
        <v>13.3</v>
      </c>
      <c r="L28" s="15" t="n">
        <v>26</v>
      </c>
      <c r="M28" s="15" t="n">
        <v>0</v>
      </c>
      <c r="N28" s="15" t="n">
        <v>0.02</v>
      </c>
      <c r="O28" s="15" t="n">
        <v>0.45</v>
      </c>
      <c r="P28" s="15" t="n">
        <v>-0.31</v>
      </c>
      <c r="Q28" s="15" t="n">
        <v>0.24</v>
      </c>
      <c r="R28" s="15" t="n">
        <v>-0.34</v>
      </c>
      <c r="S28" s="15" t="n">
        <v>0.12</v>
      </c>
      <c r="T28" s="15" t="n">
        <v>0.24</v>
      </c>
      <c r="U28" s="15" t="n">
        <v>0.34</v>
      </c>
      <c r="V28" s="15" t="inlineStr">
        <is>
          <t>New team</t>
        </is>
      </c>
      <c r="W28" s="16" t="inlineStr">
        <is>
          <t>Moved from SEA to KC. Departures: Isiah Pacheco, Kareem Hunt. 3yr/$45M ($28M gtd) from SEA; lead back, career-high volume projected [RotoWire/Yahoo]</t>
        </is>
      </c>
      <c r="X28" s="17" t="n"/>
      <c r="Y28" s="18">
        <f>IFS(X28="","",X28="Very undervalued",2, X28="Undervalued",1, X28="Evenly valued",0, X28="Overvalued",-1, X28="Very overvalued",-2,TRUE,"")</f>
        <v/>
      </c>
      <c r="Z28" s="17" t="n"/>
      <c r="AA28" s="17" t="n"/>
      <c r="AB28" s="19" t="n"/>
      <c r="AC28" s="19" t="n"/>
    </row>
    <row r="29">
      <c r="A29" s="15" t="n">
        <v>27</v>
      </c>
      <c r="B29" s="15" t="inlineStr">
        <is>
          <t>Josh Allen</t>
        </is>
      </c>
      <c r="C29" s="15" t="inlineStr">
        <is>
          <t>QB</t>
        </is>
      </c>
      <c r="D29" s="15" t="inlineStr">
        <is>
          <t>BUF</t>
        </is>
      </c>
      <c r="E29" s="15" t="n">
        <v>7</v>
      </c>
      <c r="F29" s="15" t="inlineStr"/>
      <c r="G29" s="15" t="n">
        <v>26.6</v>
      </c>
      <c r="H29" s="15" t="n">
        <v>3</v>
      </c>
      <c r="I29" s="15" t="n">
        <v>360.9</v>
      </c>
      <c r="J29" s="15" t="n">
        <v>264.8</v>
      </c>
      <c r="K29" s="15" t="n">
        <v>13.5</v>
      </c>
      <c r="L29" s="15" t="n">
        <v>16</v>
      </c>
      <c r="M29" s="15" t="n">
        <v>11</v>
      </c>
      <c r="N29" s="15" t="n">
        <v>0.63</v>
      </c>
      <c r="O29" s="15" t="n">
        <v>0.07000000000000001</v>
      </c>
      <c r="P29" s="15" t="n">
        <v>-0.31</v>
      </c>
      <c r="Q29" s="15" t="n">
        <v>0.06</v>
      </c>
      <c r="R29" s="15" t="n">
        <v>-0.19</v>
      </c>
      <c r="S29" s="15" t="n">
        <v>0.25</v>
      </c>
      <c r="T29" s="15" t="n">
        <v>0.19</v>
      </c>
      <c r="U29" s="15" t="n">
        <v>0.06</v>
      </c>
      <c r="V29" s="15" t="inlineStr"/>
      <c r="W29" s="16" t="inlineStr"/>
      <c r="X29" s="17" t="n"/>
      <c r="Y29" s="18">
        <f>IFS(X29="","",X29="Very undervalued",2, X29="Undervalued",1, X29="Evenly valued",0, X29="Overvalued",-1, X29="Very overvalued",-2,TRUE,"")</f>
        <v/>
      </c>
      <c r="Z29" s="17" t="n"/>
      <c r="AA29" s="17" t="n"/>
      <c r="AB29" s="19" t="n"/>
      <c r="AC29" s="19" t="n"/>
    </row>
    <row r="30">
      <c r="A30" s="15" t="n">
        <v>28</v>
      </c>
      <c r="B30" s="15" t="inlineStr">
        <is>
          <t>Garrett Wilson</t>
        </is>
      </c>
      <c r="C30" s="15" t="inlineStr">
        <is>
          <t>WR</t>
        </is>
      </c>
      <c r="D30" s="15" t="inlineStr">
        <is>
          <t>NYJ</t>
        </is>
      </c>
      <c r="E30" s="15" t="n">
        <v>13</v>
      </c>
      <c r="F30" s="15" t="inlineStr"/>
      <c r="G30" s="15" t="n">
        <v>27.8</v>
      </c>
      <c r="H30" s="15" t="n">
        <v>3</v>
      </c>
      <c r="I30" s="15" t="n">
        <v>245.1</v>
      </c>
      <c r="J30" s="15" t="n">
        <v>159.7</v>
      </c>
      <c r="K30" s="15" t="n">
        <v>11.1</v>
      </c>
      <c r="L30" s="15" t="n">
        <v>34</v>
      </c>
      <c r="M30" s="15" t="n">
        <v>-6</v>
      </c>
      <c r="N30" s="15" t="n">
        <v>0.43</v>
      </c>
      <c r="O30" s="15" t="n">
        <v>0.22</v>
      </c>
      <c r="P30" s="15" t="n">
        <v>0.12</v>
      </c>
      <c r="Q30" s="15" t="n">
        <v>-0.15</v>
      </c>
      <c r="R30" s="15" t="n">
        <v>0.15</v>
      </c>
      <c r="S30" s="15" t="n">
        <v>0.43</v>
      </c>
      <c r="T30" s="15" t="n">
        <v>0.29</v>
      </c>
      <c r="U30" s="15" t="n">
        <v>-0.35</v>
      </c>
      <c r="V30" s="15" t="inlineStr">
        <is>
          <t>Room change</t>
        </is>
      </c>
      <c r="W30" s="16" t="inlineStr">
        <is>
          <t>New play-caller: Frank Reich. New starting QB: unsettled QB competition. Arrivals in the room: Omar Cooper Jr.. Departures: John Metchie III.</t>
        </is>
      </c>
      <c r="X30" s="17" t="n"/>
      <c r="Y30" s="18">
        <f>IFS(X30="","",X30="Very undervalued",2, X30="Undervalued",1, X30="Evenly valued",0, X30="Overvalued",-1, X30="Very overvalued",-2,TRUE,"")</f>
        <v/>
      </c>
      <c r="Z30" s="17" t="n"/>
      <c r="AA30" s="17" t="n"/>
      <c r="AB30" s="19" t="n"/>
      <c r="AC30" s="19" t="n"/>
    </row>
    <row r="31">
      <c r="A31" s="15" t="n">
        <v>29</v>
      </c>
      <c r="B31" s="15" t="inlineStr">
        <is>
          <t>Breece Hall</t>
        </is>
      </c>
      <c r="C31" s="15" t="inlineStr">
        <is>
          <t>RB</t>
        </is>
      </c>
      <c r="D31" s="15" t="inlineStr">
        <is>
          <t>NYJ</t>
        </is>
      </c>
      <c r="E31" s="15" t="n">
        <v>13</v>
      </c>
      <c r="F31" s="15" t="inlineStr"/>
      <c r="G31" s="15" t="n">
        <v>27.9</v>
      </c>
      <c r="H31" s="15" t="n">
        <v>3</v>
      </c>
      <c r="I31" s="15" t="n">
        <v>253.3</v>
      </c>
      <c r="J31" s="15" t="n">
        <v>185.8</v>
      </c>
      <c r="K31" s="15" t="n">
        <v>12.9</v>
      </c>
      <c r="L31" s="15" t="n">
        <v>25</v>
      </c>
      <c r="M31" s="15" t="n">
        <v>4</v>
      </c>
      <c r="N31" s="15" t="n">
        <v>0.02</v>
      </c>
      <c r="O31" s="15" t="n">
        <v>0.2</v>
      </c>
      <c r="P31" s="15" t="n">
        <v>0.02</v>
      </c>
      <c r="Q31" s="15" t="n">
        <v>0.08</v>
      </c>
      <c r="R31" s="15" t="n">
        <v>-0.02</v>
      </c>
      <c r="S31" s="15" t="n">
        <v>0.12</v>
      </c>
      <c r="T31" s="15" t="n">
        <v>0.25</v>
      </c>
      <c r="U31" s="15" t="n">
        <v>-0.02</v>
      </c>
      <c r="V31" s="15" t="inlineStr">
        <is>
          <t>Context</t>
        </is>
      </c>
      <c r="W31" s="16" t="inlineStr">
        <is>
          <t>New play-caller: Frank Reich. New starting QB: unsettled QB competition.</t>
        </is>
      </c>
      <c r="X31" s="17" t="n"/>
      <c r="Y31" s="18">
        <f>IFS(X31="","",X31="Very undervalued",2, X31="Undervalued",1, X31="Evenly valued",0, X31="Overvalued",-1, X31="Very overvalued",-2,TRUE,"")</f>
        <v/>
      </c>
      <c r="Z31" s="17" t="n"/>
      <c r="AA31" s="17" t="n"/>
      <c r="AB31" s="19" t="n"/>
      <c r="AC31" s="19" t="n"/>
    </row>
    <row r="32">
      <c r="A32" s="15" t="n">
        <v>30</v>
      </c>
      <c r="B32" s="15" t="inlineStr">
        <is>
          <t>Zay Flowers</t>
        </is>
      </c>
      <c r="C32" s="15" t="inlineStr">
        <is>
          <t>WR</t>
        </is>
      </c>
      <c r="D32" s="15" t="inlineStr">
        <is>
          <t>BAL</t>
        </is>
      </c>
      <c r="E32" s="15" t="n">
        <v>13</v>
      </c>
      <c r="F32" s="15" t="inlineStr"/>
      <c r="G32" s="15" t="n">
        <v>28</v>
      </c>
      <c r="H32" s="15" t="n">
        <v>3</v>
      </c>
      <c r="I32" s="15" t="n">
        <v>243.6</v>
      </c>
      <c r="J32" s="15" t="n">
        <v>198.9</v>
      </c>
      <c r="K32" s="15" t="n">
        <v>13.8</v>
      </c>
      <c r="L32" s="15" t="n">
        <v>36</v>
      </c>
      <c r="M32" s="15" t="n">
        <v>-6</v>
      </c>
      <c r="N32" s="15" t="n">
        <v>0.2</v>
      </c>
      <c r="O32" s="15" t="n">
        <v>0.1</v>
      </c>
      <c r="P32" s="15" t="n">
        <v>-0.28</v>
      </c>
      <c r="Q32" s="15" t="n">
        <v>0.37</v>
      </c>
      <c r="R32" s="15" t="n">
        <v>-0.34</v>
      </c>
      <c r="S32" s="15" t="n">
        <v>0.24</v>
      </c>
      <c r="T32" s="15" t="n">
        <v>0.12</v>
      </c>
      <c r="U32" s="15" t="n">
        <v>0.34</v>
      </c>
      <c r="V32" s="15" t="inlineStr">
        <is>
          <t>Context</t>
        </is>
      </c>
      <c r="W32" s="16" t="inlineStr">
        <is>
          <t>New play-caller: Declan Doyle.</t>
        </is>
      </c>
      <c r="X32" s="17" t="n"/>
      <c r="Y32" s="18">
        <f>IFS(X32="","",X32="Very undervalued",2, X32="Undervalued",1, X32="Evenly valued",0, X32="Overvalued",-1, X32="Very overvalued",-2,TRUE,"")</f>
        <v/>
      </c>
      <c r="Z32" s="17" t="n"/>
      <c r="AA32" s="17" t="n"/>
      <c r="AB32" s="19" t="n"/>
      <c r="AC32" s="19" t="n"/>
    </row>
    <row r="33">
      <c r="A33" s="15" t="n">
        <v>31</v>
      </c>
      <c r="B33" s="15" t="inlineStr">
        <is>
          <t>DeVonta Smith</t>
        </is>
      </c>
      <c r="C33" s="15" t="inlineStr">
        <is>
          <t>WR</t>
        </is>
      </c>
      <c r="D33" s="15" t="inlineStr">
        <is>
          <t>PHI</t>
        </is>
      </c>
      <c r="E33" s="15" t="n">
        <v>10</v>
      </c>
      <c r="F33" s="15" t="inlineStr"/>
      <c r="G33" s="15" t="n">
        <v>28.8</v>
      </c>
      <c r="H33" s="15" t="n">
        <v>3</v>
      </c>
      <c r="I33" s="15" t="n">
        <v>236.2</v>
      </c>
      <c r="J33" s="15" t="n">
        <v>192.9</v>
      </c>
      <c r="K33" s="15" t="n">
        <v>13.6</v>
      </c>
      <c r="L33" s="15" t="n">
        <v>41</v>
      </c>
      <c r="M33" s="15" t="n">
        <v>-10</v>
      </c>
      <c r="N33" s="15" t="n">
        <v>0.09</v>
      </c>
      <c r="O33" s="15" t="n">
        <v>0.12</v>
      </c>
      <c r="P33" s="15" t="n">
        <v>-0.23</v>
      </c>
      <c r="Q33" s="15" t="n">
        <v>0.31</v>
      </c>
      <c r="R33" s="15" t="n">
        <v>-0.2</v>
      </c>
      <c r="S33" s="15" t="n">
        <v>0.12</v>
      </c>
      <c r="T33" s="15" t="n">
        <v>0.24</v>
      </c>
      <c r="U33" s="15" t="n">
        <v>0.26</v>
      </c>
      <c r="V33" s="15" t="inlineStr">
        <is>
          <t>Room change</t>
        </is>
      </c>
      <c r="W33" s="16" t="inlineStr">
        <is>
          <t>New play-caller: Sean Mannion. Arrivals in the room: Dontayvion Wicks, Makai Lemon. Departures: A.J. Brown.</t>
        </is>
      </c>
      <c r="X33" s="17" t="n"/>
      <c r="Y33" s="18">
        <f>IFS(X33="","",X33="Very undervalued",2, X33="Undervalued",1, X33="Evenly valued",0, X33="Overvalued",-1, X33="Very overvalued",-2,TRUE,"")</f>
        <v/>
      </c>
      <c r="Z33" s="17" t="n"/>
      <c r="AA33" s="17" t="n"/>
      <c r="AB33" s="19" t="n"/>
      <c r="AC33" s="19" t="n"/>
    </row>
    <row r="34">
      <c r="A34" s="15" t="n">
        <v>32</v>
      </c>
      <c r="B34" s="15" t="inlineStr">
        <is>
          <t>Kyren Williams</t>
        </is>
      </c>
      <c r="C34" s="15" t="inlineStr">
        <is>
          <t>RB</t>
        </is>
      </c>
      <c r="D34" s="15" t="inlineStr">
        <is>
          <t>LAR</t>
        </is>
      </c>
      <c r="E34" s="15" t="n">
        <v>11</v>
      </c>
      <c r="F34" s="15" t="inlineStr"/>
      <c r="G34" s="15" t="n">
        <v>32.6</v>
      </c>
      <c r="H34" s="15" t="n">
        <v>4</v>
      </c>
      <c r="I34" s="15" t="n">
        <v>242.5</v>
      </c>
      <c r="J34" s="15" t="n">
        <v>188.5</v>
      </c>
      <c r="K34" s="15" t="n">
        <v>13.3</v>
      </c>
      <c r="L34" s="15" t="n">
        <v>31</v>
      </c>
      <c r="M34" s="15" t="n">
        <v>1</v>
      </c>
      <c r="N34" s="15" t="n">
        <v>0.27</v>
      </c>
      <c r="O34" s="15" t="n">
        <v>-0.02</v>
      </c>
      <c r="P34" s="15" t="n">
        <v>-0.16</v>
      </c>
      <c r="Q34" s="15" t="n">
        <v>0.35</v>
      </c>
      <c r="R34" s="15" t="n">
        <v>-0.23</v>
      </c>
      <c r="S34" s="15" t="n">
        <v>0.18</v>
      </c>
      <c r="T34" s="15" t="n">
        <v>0.06</v>
      </c>
      <c r="U34" s="15" t="n">
        <v>0.32</v>
      </c>
      <c r="V34" s="15" t="inlineStr"/>
      <c r="W34" s="16" t="inlineStr"/>
      <c r="X34" s="17" t="n"/>
      <c r="Y34" s="18">
        <f>IFS(X34="","",X34="Very undervalued",2, X34="Undervalued",1, X34="Evenly valued",0, X34="Overvalued",-1, X34="Very overvalued",-2,TRUE,"")</f>
        <v/>
      </c>
      <c r="Z34" s="17" t="n"/>
      <c r="AA34" s="17" t="n"/>
      <c r="AB34" s="19" t="n"/>
      <c r="AC34" s="19" t="n"/>
    </row>
    <row r="35">
      <c r="A35" s="15" t="n">
        <v>33</v>
      </c>
      <c r="B35" s="15" t="inlineStr">
        <is>
          <t>Tetairoa McMillan</t>
        </is>
      </c>
      <c r="C35" s="15" t="inlineStr">
        <is>
          <t>WR</t>
        </is>
      </c>
      <c r="D35" s="15" t="inlineStr">
        <is>
          <t>CAR</t>
        </is>
      </c>
      <c r="E35" s="15" t="n">
        <v>5</v>
      </c>
      <c r="F35" s="15" t="inlineStr">
        <is>
          <t>Yes</t>
        </is>
      </c>
      <c r="G35" s="15" t="n">
        <v>33.3</v>
      </c>
      <c r="H35" s="15" t="n">
        <v>4</v>
      </c>
      <c r="I35" s="15" t="n">
        <v>227.1</v>
      </c>
      <c r="J35" s="15" t="n">
        <v>187.1</v>
      </c>
      <c r="K35" s="15" t="n">
        <v>14</v>
      </c>
      <c r="L35" s="15" t="n">
        <v>51</v>
      </c>
      <c r="M35" s="15" t="n">
        <v>-18</v>
      </c>
      <c r="N35" s="15" t="n">
        <v>0.24</v>
      </c>
      <c r="O35" s="15" t="n">
        <v>0.05</v>
      </c>
      <c r="P35" s="15" t="n">
        <v>-0.26</v>
      </c>
      <c r="Q35" s="15" t="n">
        <v>0.43</v>
      </c>
      <c r="R35" s="15" t="n">
        <v>-0.32</v>
      </c>
      <c r="S35" s="15" t="n">
        <v>0.06</v>
      </c>
      <c r="T35" s="15" t="n">
        <v>0.12</v>
      </c>
      <c r="U35" s="15" t="n">
        <v>0.49</v>
      </c>
      <c r="V35" s="15" t="inlineStr">
        <is>
          <t>Room change</t>
        </is>
      </c>
      <c r="W35" s="16" t="inlineStr">
        <is>
          <t>Arrivals in the room: John Metchie III.</t>
        </is>
      </c>
      <c r="X35" s="17" t="n"/>
      <c r="Y35" s="18">
        <f>IFS(X35="","",X35="Very undervalued",2, X35="Undervalued",1, X35="Evenly valued",0, X35="Overvalued",-1, X35="Very overvalued",-2,TRUE,"")</f>
        <v/>
      </c>
      <c r="Z35" s="17" t="n"/>
      <c r="AA35" s="17" t="n"/>
      <c r="AB35" s="19" t="n"/>
      <c r="AC35" s="19" t="n"/>
    </row>
    <row r="36">
      <c r="A36" s="15" t="n">
        <v>34</v>
      </c>
      <c r="B36" s="15" t="inlineStr">
        <is>
          <t>Trey McBride</t>
        </is>
      </c>
      <c r="C36" s="15" t="inlineStr">
        <is>
          <t>TE</t>
        </is>
      </c>
      <c r="D36" s="15" t="inlineStr">
        <is>
          <t>ARI</t>
        </is>
      </c>
      <c r="E36" s="15" t="n">
        <v>14</v>
      </c>
      <c r="F36" s="15" t="inlineStr"/>
      <c r="G36" s="15" t="n">
        <v>34</v>
      </c>
      <c r="H36" s="15" t="n">
        <v>4</v>
      </c>
      <c r="I36" s="15" t="n">
        <v>264.5</v>
      </c>
      <c r="J36" s="15" t="n">
        <v>200</v>
      </c>
      <c r="K36" s="15" t="n">
        <v>13.6</v>
      </c>
      <c r="L36" s="15" t="n">
        <v>10</v>
      </c>
      <c r="M36" s="15" t="n">
        <v>24</v>
      </c>
      <c r="N36" s="15" t="n">
        <v>0.25</v>
      </c>
      <c r="O36" s="15" t="n">
        <v>0.19</v>
      </c>
      <c r="P36" s="15" t="n">
        <v>-0.29</v>
      </c>
      <c r="Q36" s="15" t="n">
        <v>-0.14</v>
      </c>
      <c r="R36" s="15" t="n">
        <v>0</v>
      </c>
      <c r="S36" s="15" t="n">
        <v>0.59</v>
      </c>
      <c r="T36" s="15" t="n">
        <v>0</v>
      </c>
      <c r="U36" s="15" t="n">
        <v>0.14</v>
      </c>
      <c r="V36" s="15" t="inlineStr">
        <is>
          <t>Context</t>
        </is>
      </c>
      <c r="W36" s="16" t="inlineStr">
        <is>
          <t>New play-caller: Mike LaFleur.</t>
        </is>
      </c>
      <c r="X36" s="17" t="n"/>
      <c r="Y36" s="18">
        <f>IFS(X36="","",X36="Very undervalued",2, X36="Undervalued",1, X36="Evenly valued",0, X36="Overvalued",-1, X36="Very overvalued",-2,TRUE,"")</f>
        <v/>
      </c>
      <c r="Z36" s="17" t="n"/>
      <c r="AA36" s="17" t="n"/>
      <c r="AB36" s="19" t="n"/>
      <c r="AC36" s="19" t="n"/>
    </row>
    <row r="37">
      <c r="A37" s="15" t="n">
        <v>35</v>
      </c>
      <c r="B37" s="15" t="inlineStr">
        <is>
          <t>Javonte Williams</t>
        </is>
      </c>
      <c r="C37" s="15" t="inlineStr">
        <is>
          <t>RB</t>
        </is>
      </c>
      <c r="D37" s="15" t="inlineStr">
        <is>
          <t>DAL</t>
        </is>
      </c>
      <c r="E37" s="15" t="n">
        <v>14</v>
      </c>
      <c r="F37" s="15" t="inlineStr"/>
      <c r="G37" s="15" t="n">
        <v>34.2</v>
      </c>
      <c r="H37" s="15" t="n">
        <v>4</v>
      </c>
      <c r="I37" s="15" t="n">
        <v>229.3</v>
      </c>
      <c r="J37" s="15" t="n">
        <v>175.5</v>
      </c>
      <c r="K37" s="15" t="n">
        <v>12.8</v>
      </c>
      <c r="L37" s="15" t="n">
        <v>39</v>
      </c>
      <c r="M37" s="15" t="n">
        <v>-4</v>
      </c>
      <c r="N37" s="15" t="n">
        <v>0.26</v>
      </c>
      <c r="O37" s="15" t="n">
        <v>0.28</v>
      </c>
      <c r="P37" s="15" t="n">
        <v>-0.13</v>
      </c>
      <c r="Q37" s="15" t="n">
        <v>0.23</v>
      </c>
      <c r="R37" s="15" t="n">
        <v>-0.16</v>
      </c>
      <c r="S37" s="15" t="n">
        <v>0.19</v>
      </c>
      <c r="T37" s="15" t="n">
        <v>0</v>
      </c>
      <c r="U37" s="15" t="n">
        <v>0</v>
      </c>
      <c r="V37" s="15" t="inlineStr"/>
      <c r="W37" s="16" t="inlineStr"/>
      <c r="X37" s="17" t="n"/>
      <c r="Y37" s="18">
        <f>IFS(X37="","",X37="Very undervalued",2, X37="Undervalued",1, X37="Evenly valued",0, X37="Overvalued",-1, X37="Very overvalued",-2,TRUE,"")</f>
        <v/>
      </c>
      <c r="Z37" s="17" t="n"/>
      <c r="AA37" s="17" t="n"/>
      <c r="AB37" s="19" t="n"/>
      <c r="AC37" s="19" t="n"/>
    </row>
    <row r="38">
      <c r="A38" s="15" t="n">
        <v>36</v>
      </c>
      <c r="B38" s="15" t="inlineStr">
        <is>
          <t>Cam Skattebo</t>
        </is>
      </c>
      <c r="C38" s="15" t="inlineStr">
        <is>
          <t>RB</t>
        </is>
      </c>
      <c r="D38" s="15" t="inlineStr">
        <is>
          <t>NYG</t>
        </is>
      </c>
      <c r="E38" s="15" t="n">
        <v>8</v>
      </c>
      <c r="F38" s="15" t="inlineStr">
        <is>
          <t>Yes</t>
        </is>
      </c>
      <c r="G38" s="15" t="n">
        <v>34.3</v>
      </c>
      <c r="H38" s="15" t="n">
        <v>4</v>
      </c>
      <c r="I38" s="15" t="n">
        <v>244.2</v>
      </c>
      <c r="J38" s="15" t="n">
        <v>118.6</v>
      </c>
      <c r="K38" s="15" t="n">
        <v>8.4</v>
      </c>
      <c r="L38" s="15" t="n">
        <v>29</v>
      </c>
      <c r="M38" s="15" t="n">
        <v>7</v>
      </c>
      <c r="N38" s="15" t="n">
        <v>0.42</v>
      </c>
      <c r="O38" s="15" t="n">
        <v>0.27</v>
      </c>
      <c r="P38" s="15" t="n">
        <v>0.23</v>
      </c>
      <c r="Q38" s="15" t="n">
        <v>-0.23</v>
      </c>
      <c r="R38" s="15" t="n">
        <v>0.23</v>
      </c>
      <c r="S38" s="15" t="n">
        <v>0.25</v>
      </c>
      <c r="T38" s="15" t="n">
        <v>0.12</v>
      </c>
      <c r="U38" s="15" t="n">
        <v>-0.48</v>
      </c>
      <c r="V38" s="15" t="inlineStr">
        <is>
          <t>Context</t>
        </is>
      </c>
      <c r="W38" s="16" t="inlineStr">
        <is>
          <t>New play-caller: Matt Nagy.</t>
        </is>
      </c>
      <c r="X38" s="17" t="n"/>
      <c r="Y38" s="18">
        <f>IFS(X38="","",X38="Very undervalued",2, X38="Undervalued",1, X38="Evenly valued",0, X38="Overvalued",-1, X38="Very overvalued",-2,TRUE,"")</f>
        <v/>
      </c>
      <c r="Z38" s="17" t="n"/>
      <c r="AA38" s="17" t="n"/>
      <c r="AB38" s="19" t="n"/>
      <c r="AC38" s="19" t="n"/>
    </row>
    <row r="39">
      <c r="A39" s="15" t="n">
        <v>37</v>
      </c>
      <c r="B39" s="15" t="inlineStr">
        <is>
          <t>Travis Etienne Jr.</t>
        </is>
      </c>
      <c r="C39" s="15" t="inlineStr">
        <is>
          <t>RB</t>
        </is>
      </c>
      <c r="D39" s="15" t="inlineStr">
        <is>
          <t>NO</t>
        </is>
      </c>
      <c r="E39" s="15" t="n">
        <v>8</v>
      </c>
      <c r="F39" s="15" t="inlineStr"/>
      <c r="G39" s="15" t="n">
        <v>37.1</v>
      </c>
      <c r="H39" s="15" t="n">
        <v>4</v>
      </c>
      <c r="I39" s="15" t="n">
        <v>234.7</v>
      </c>
      <c r="J39" s="15" t="n">
        <v>184.7</v>
      </c>
      <c r="K39" s="15" t="n">
        <v>13.2</v>
      </c>
      <c r="L39" s="15" t="n">
        <v>37</v>
      </c>
      <c r="M39" s="15" t="n">
        <v>0</v>
      </c>
      <c r="N39" s="15" t="n">
        <v>0.27</v>
      </c>
      <c r="O39" s="15" t="n">
        <v>0.06</v>
      </c>
      <c r="P39" s="15" t="n">
        <v>-0.35</v>
      </c>
      <c r="Q39" s="15" t="n">
        <v>0.35</v>
      </c>
      <c r="R39" s="15" t="n">
        <v>-0.32</v>
      </c>
      <c r="S39" s="15" t="n">
        <v>0.18</v>
      </c>
      <c r="T39" s="15" t="n">
        <v>0.12</v>
      </c>
      <c r="U39" s="15" t="n">
        <v>0.26</v>
      </c>
      <c r="V39" s="15" t="inlineStr">
        <is>
          <t>New team</t>
        </is>
      </c>
      <c r="W39" s="16" t="inlineStr">
        <is>
          <t>Moved from JAX to NO.</t>
        </is>
      </c>
      <c r="X39" s="17" t="n"/>
      <c r="Y39" s="18">
        <f>IFS(X39="","",X39="Very undervalued",2, X39="Undervalued",1, X39="Evenly valued",0, X39="Overvalued",-1, X39="Very overvalued",-2,TRUE,"")</f>
        <v/>
      </c>
      <c r="Z39" s="17" t="n"/>
      <c r="AA39" s="17" t="n"/>
      <c r="AB39" s="19" t="n"/>
      <c r="AC39" s="19" t="n"/>
    </row>
    <row r="40">
      <c r="A40" s="15" t="n">
        <v>38</v>
      </c>
      <c r="B40" s="15" t="inlineStr">
        <is>
          <t>Tee Higgins</t>
        </is>
      </c>
      <c r="C40" s="15" t="inlineStr">
        <is>
          <t>WR</t>
        </is>
      </c>
      <c r="D40" s="15" t="inlineStr">
        <is>
          <t>CIN</t>
        </is>
      </c>
      <c r="E40" s="15" t="n">
        <v>6</v>
      </c>
      <c r="F40" s="15" t="inlineStr"/>
      <c r="G40" s="15" t="n">
        <v>37.3</v>
      </c>
      <c r="H40" s="15" t="n">
        <v>4</v>
      </c>
      <c r="I40" s="15" t="n">
        <v>221.4</v>
      </c>
      <c r="J40" s="15" t="n">
        <v>167.6</v>
      </c>
      <c r="K40" s="15" t="n">
        <v>12.8</v>
      </c>
      <c r="L40" s="15" t="n">
        <v>59</v>
      </c>
      <c r="M40" s="15" t="n">
        <v>-21</v>
      </c>
      <c r="N40" s="15" t="n">
        <v>0.52</v>
      </c>
      <c r="O40" s="15" t="n">
        <v>0.08</v>
      </c>
      <c r="P40" s="15" t="n">
        <v>-0.05</v>
      </c>
      <c r="Q40" s="15" t="n">
        <v>0.11</v>
      </c>
      <c r="R40" s="15" t="n">
        <v>-0.11</v>
      </c>
      <c r="S40" s="15" t="n">
        <v>0.2</v>
      </c>
      <c r="T40" s="15" t="n">
        <v>0.07000000000000001</v>
      </c>
      <c r="U40" s="15" t="n">
        <v>-0.11</v>
      </c>
      <c r="V40" s="15" t="inlineStr"/>
      <c r="W40" s="16" t="inlineStr"/>
      <c r="X40" s="17" t="n"/>
      <c r="Y40" s="18">
        <f>IFS(X40="","",X40="Very undervalued",2, X40="Undervalued",1, X40="Evenly valued",0, X40="Overvalued",-1, X40="Very overvalued",-2,TRUE,"")</f>
        <v/>
      </c>
      <c r="Z40" s="17" t="n"/>
      <c r="AA40" s="17" t="n"/>
      <c r="AB40" s="19" t="n"/>
      <c r="AC40" s="19" t="n"/>
    </row>
    <row r="41">
      <c r="A41" s="15" t="n">
        <v>39</v>
      </c>
      <c r="B41" s="15" t="inlineStr">
        <is>
          <t>Emeka Egbuka</t>
        </is>
      </c>
      <c r="C41" s="15" t="inlineStr">
        <is>
          <t>WR</t>
        </is>
      </c>
      <c r="D41" s="15" t="inlineStr">
        <is>
          <t>TB</t>
        </is>
      </c>
      <c r="E41" s="15" t="n">
        <v>10</v>
      </c>
      <c r="F41" s="15" t="inlineStr">
        <is>
          <t>Yes</t>
        </is>
      </c>
      <c r="G41" s="15" t="n">
        <v>37.7</v>
      </c>
      <c r="H41" s="15" t="n">
        <v>4</v>
      </c>
      <c r="I41" s="15" t="n">
        <v>210.9</v>
      </c>
      <c r="J41" s="15" t="n">
        <v>175.9</v>
      </c>
      <c r="K41" s="15" t="n">
        <v>13.9</v>
      </c>
      <c r="L41" s="15" t="n">
        <v>74</v>
      </c>
      <c r="M41" s="15" t="n">
        <v>-35</v>
      </c>
      <c r="N41" s="15" t="n">
        <v>0.17</v>
      </c>
      <c r="O41" s="15" t="n">
        <v>0.17</v>
      </c>
      <c r="P41" s="15" t="n">
        <v>-0.14</v>
      </c>
      <c r="Q41" s="15" t="n">
        <v>0.3</v>
      </c>
      <c r="R41" s="15" t="n">
        <v>-0.17</v>
      </c>
      <c r="S41" s="15" t="n">
        <v>0.24</v>
      </c>
      <c r="T41" s="15" t="n">
        <v>0.29</v>
      </c>
      <c r="U41" s="15" t="n">
        <v>0.46</v>
      </c>
      <c r="V41" s="15" t="inlineStr">
        <is>
          <t>Room change</t>
        </is>
      </c>
      <c r="W41" s="16" t="inlineStr">
        <is>
          <t>New play-caller: Zac Robinson. Departures: Mike Evans.</t>
        </is>
      </c>
      <c r="X41" s="17" t="n"/>
      <c r="Y41" s="18">
        <f>IFS(X41="","",X41="Very undervalued",2, X41="Undervalued",1, X41="Evenly valued",0, X41="Overvalued",-1, X41="Very overvalued",-2,TRUE,"")</f>
        <v/>
      </c>
      <c r="Z41" s="17" t="n"/>
      <c r="AA41" s="17" t="n"/>
      <c r="AB41" s="19" t="n"/>
      <c r="AC41" s="19" t="n"/>
    </row>
    <row r="42">
      <c r="A42" s="15" t="n">
        <v>40</v>
      </c>
      <c r="B42" s="15" t="inlineStr">
        <is>
          <t>Brock Bowers</t>
        </is>
      </c>
      <c r="C42" s="15" t="inlineStr">
        <is>
          <t>TE</t>
        </is>
      </c>
      <c r="D42" s="15" t="inlineStr">
        <is>
          <t>LV</t>
        </is>
      </c>
      <c r="E42" s="15" t="n">
        <v>13</v>
      </c>
      <c r="F42" s="15" t="inlineStr"/>
      <c r="G42" s="15" t="n">
        <v>38.2</v>
      </c>
      <c r="H42" s="15" t="n">
        <v>4</v>
      </c>
      <c r="I42" s="15" t="n">
        <v>243.5</v>
      </c>
      <c r="J42" s="15" t="n">
        <v>156.9</v>
      </c>
      <c r="K42" s="15" t="n">
        <v>11.5</v>
      </c>
      <c r="L42" s="15" t="n">
        <v>12</v>
      </c>
      <c r="M42" s="15" t="n">
        <v>28</v>
      </c>
      <c r="N42" s="15" t="n">
        <v>0.28</v>
      </c>
      <c r="O42" s="15" t="n">
        <v>0.38</v>
      </c>
      <c r="P42" s="15" t="n">
        <v>0.31</v>
      </c>
      <c r="Q42" s="15" t="n">
        <v>-0.31</v>
      </c>
      <c r="R42" s="15" t="n">
        <v>0.31</v>
      </c>
      <c r="S42" s="15" t="n">
        <v>0.25</v>
      </c>
      <c r="T42" s="15" t="n">
        <v>0.08</v>
      </c>
      <c r="U42" s="15" t="n">
        <v>-0.31</v>
      </c>
      <c r="V42" s="15" t="inlineStr">
        <is>
          <t>Context</t>
        </is>
      </c>
      <c r="W42" s="16" t="inlineStr">
        <is>
          <t>New play-caller: Klint Kubiak. New starting QB: Fernando Mendoza.</t>
        </is>
      </c>
      <c r="X42" s="17" t="n"/>
      <c r="Y42" s="18">
        <f>IFS(X42="","",X42="Very undervalued",2, X42="Undervalued",1, X42="Evenly valued",0, X42="Overvalued",-1, X42="Very overvalued",-2,TRUE,"")</f>
        <v/>
      </c>
      <c r="Z42" s="17" t="n"/>
      <c r="AA42" s="17" t="n"/>
      <c r="AB42" s="19" t="n"/>
      <c r="AC42" s="19" t="n"/>
    </row>
    <row r="43">
      <c r="A43" s="15" t="n">
        <v>41</v>
      </c>
      <c r="B43" s="15" t="inlineStr">
        <is>
          <t>Davante Adams</t>
        </is>
      </c>
      <c r="C43" s="15" t="inlineStr">
        <is>
          <t>WR</t>
        </is>
      </c>
      <c r="D43" s="15" t="inlineStr">
        <is>
          <t>LAR</t>
        </is>
      </c>
      <c r="E43" s="15" t="n">
        <v>11</v>
      </c>
      <c r="F43" s="15" t="inlineStr"/>
      <c r="G43" s="15" t="n">
        <v>41.6</v>
      </c>
      <c r="H43" s="15" t="n">
        <v>5</v>
      </c>
      <c r="I43" s="15" t="n">
        <v>221.9</v>
      </c>
      <c r="J43" s="15" t="n">
        <v>155.3</v>
      </c>
      <c r="K43" s="15" t="n">
        <v>11.7</v>
      </c>
      <c r="L43" s="15" t="n">
        <v>57</v>
      </c>
      <c r="M43" s="15" t="n">
        <v>-16</v>
      </c>
      <c r="N43" s="15" t="n">
        <v>0.54</v>
      </c>
      <c r="O43" s="15" t="n">
        <v>0.07000000000000001</v>
      </c>
      <c r="P43" s="15" t="n">
        <v>0</v>
      </c>
      <c r="Q43" s="15" t="n">
        <v>0.03</v>
      </c>
      <c r="R43" s="15" t="n">
        <v>-0.03</v>
      </c>
      <c r="S43" s="15" t="n">
        <v>0.36</v>
      </c>
      <c r="T43" s="15" t="n">
        <v>0</v>
      </c>
      <c r="U43" s="15" t="n">
        <v>-0.21</v>
      </c>
      <c r="V43" s="15" t="inlineStr"/>
      <c r="W43" s="16" t="inlineStr"/>
      <c r="X43" s="17" t="n"/>
      <c r="Y43" s="18">
        <f>IFS(X43="","",X43="Very undervalued",2, X43="Undervalued",1, X43="Evenly valued",0, X43="Overvalued",-1, X43="Very overvalued",-2,TRUE,"")</f>
        <v/>
      </c>
      <c r="Z43" s="17" t="n"/>
      <c r="AA43" s="17" t="n"/>
      <c r="AB43" s="19" t="n"/>
      <c r="AC43" s="19" t="n"/>
    </row>
    <row r="44">
      <c r="A44" s="15" t="n">
        <v>42</v>
      </c>
      <c r="B44" s="15" t="inlineStr">
        <is>
          <t>Ladd McConkey</t>
        </is>
      </c>
      <c r="C44" s="15" t="inlineStr">
        <is>
          <t>WR</t>
        </is>
      </c>
      <c r="D44" s="15" t="inlineStr">
        <is>
          <t>LAC</t>
        </is>
      </c>
      <c r="E44" s="15" t="n">
        <v>7</v>
      </c>
      <c r="F44" s="15" t="inlineStr"/>
      <c r="G44" s="15" t="n">
        <v>41.7</v>
      </c>
      <c r="H44" s="15" t="n">
        <v>5</v>
      </c>
      <c r="I44" s="15" t="n">
        <v>212.4</v>
      </c>
      <c r="J44" s="15" t="n">
        <v>174.7</v>
      </c>
      <c r="K44" s="15" t="n">
        <v>13.5</v>
      </c>
      <c r="L44" s="15" t="n">
        <v>68</v>
      </c>
      <c r="M44" s="15" t="n">
        <v>-26</v>
      </c>
      <c r="N44" s="15" t="n">
        <v>0.19</v>
      </c>
      <c r="O44" s="15" t="n">
        <v>0.19</v>
      </c>
      <c r="P44" s="15" t="n">
        <v>-0.19</v>
      </c>
      <c r="Q44" s="15" t="n">
        <v>0.24</v>
      </c>
      <c r="R44" s="15" t="n">
        <v>-0.21</v>
      </c>
      <c r="S44" s="15" t="n">
        <v>0.19</v>
      </c>
      <c r="T44" s="15" t="n">
        <v>0.31</v>
      </c>
      <c r="U44" s="15" t="n">
        <v>0.19</v>
      </c>
      <c r="V44" s="15" t="inlineStr">
        <is>
          <t>Context</t>
        </is>
      </c>
      <c r="W44" s="16" t="inlineStr">
        <is>
          <t>New play-caller: Mike McDaniel.</t>
        </is>
      </c>
      <c r="X44" s="17" t="n"/>
      <c r="Y44" s="18">
        <f>IFS(X44="","",X44="Very undervalued",2, X44="Undervalued",1, X44="Evenly valued",0, X44="Overvalued",-1, X44="Very overvalued",-2,TRUE,"")</f>
        <v/>
      </c>
      <c r="Z44" s="17" t="n"/>
      <c r="AA44" s="17" t="n"/>
      <c r="AB44" s="19" t="n"/>
      <c r="AC44" s="19" t="n"/>
    </row>
    <row r="45">
      <c r="A45" s="15" t="n">
        <v>43</v>
      </c>
      <c r="B45" s="15" t="inlineStr">
        <is>
          <t>Terry McLaurin</t>
        </is>
      </c>
      <c r="C45" s="15" t="inlineStr">
        <is>
          <t>WR</t>
        </is>
      </c>
      <c r="D45" s="15" t="inlineStr">
        <is>
          <t>WAS</t>
        </is>
      </c>
      <c r="E45" s="15" t="n">
        <v>7</v>
      </c>
      <c r="F45" s="15" t="inlineStr"/>
      <c r="G45" s="15" t="n">
        <v>41.7</v>
      </c>
      <c r="H45" s="15" t="n">
        <v>5</v>
      </c>
      <c r="I45" s="15" t="n">
        <v>214.9</v>
      </c>
      <c r="J45" s="15" t="n">
        <v>123.3</v>
      </c>
      <c r="K45" s="15" t="n">
        <v>9.6</v>
      </c>
      <c r="L45" s="15" t="n">
        <v>65</v>
      </c>
      <c r="M45" s="15" t="n">
        <v>-22</v>
      </c>
      <c r="N45" s="15" t="n">
        <v>0.14</v>
      </c>
      <c r="O45" s="15" t="n">
        <v>0.36</v>
      </c>
      <c r="P45" s="15" t="n">
        <v>0.32</v>
      </c>
      <c r="Q45" s="15" t="n">
        <v>-0.1</v>
      </c>
      <c r="R45" s="15" t="n">
        <v>0.1</v>
      </c>
      <c r="S45" s="15" t="n">
        <v>0.1</v>
      </c>
      <c r="T45" s="15" t="n">
        <v>0.1</v>
      </c>
      <c r="U45" s="15" t="n">
        <v>-0.41</v>
      </c>
      <c r="V45" s="15" t="inlineStr">
        <is>
          <t>Room change</t>
        </is>
      </c>
      <c r="W45" s="16" t="inlineStr">
        <is>
          <t>New play-caller: David Blough. New starting QB: Jayden Daniels. Arrivals in the room: Antonio Williams.</t>
        </is>
      </c>
      <c r="X45" s="17" t="n"/>
      <c r="Y45" s="18">
        <f>IFS(X45="","",X45="Very undervalued",2, X45="Undervalued",1, X45="Evenly valued",0, X45="Overvalued",-1, X45="Very overvalued",-2,TRUE,"")</f>
        <v/>
      </c>
      <c r="Z45" s="17" t="n"/>
      <c r="AA45" s="17" t="n"/>
      <c r="AB45" s="19" t="n"/>
      <c r="AC45" s="19" t="n"/>
    </row>
    <row r="46">
      <c r="A46" s="15" t="n">
        <v>44</v>
      </c>
      <c r="B46" s="15" t="inlineStr">
        <is>
          <t>Bucky Irving</t>
        </is>
      </c>
      <c r="C46" s="15" t="inlineStr">
        <is>
          <t>RB</t>
        </is>
      </c>
      <c r="D46" s="15" t="inlineStr">
        <is>
          <t>TB</t>
        </is>
      </c>
      <c r="E46" s="15" t="n">
        <v>10</v>
      </c>
      <c r="F46" s="15" t="inlineStr"/>
      <c r="G46" s="15" t="n">
        <v>42.8</v>
      </c>
      <c r="H46" s="15" t="n">
        <v>5</v>
      </c>
      <c r="I46" s="15" t="n">
        <v>228.8</v>
      </c>
      <c r="J46" s="15" t="n">
        <v>129.6</v>
      </c>
      <c r="K46" s="15" t="n">
        <v>9.800000000000001</v>
      </c>
      <c r="L46" s="15" t="n">
        <v>40</v>
      </c>
      <c r="M46" s="15" t="n">
        <v>4</v>
      </c>
      <c r="N46" s="15" t="n">
        <v>0.1</v>
      </c>
      <c r="O46" s="15" t="n">
        <v>0.63</v>
      </c>
      <c r="P46" s="15" t="n">
        <v>0.1</v>
      </c>
      <c r="Q46" s="15" t="n">
        <v>-0.13</v>
      </c>
      <c r="R46" s="15" t="n">
        <v>0.1</v>
      </c>
      <c r="S46" s="15" t="n">
        <v>0.1</v>
      </c>
      <c r="T46" s="15" t="n">
        <v>0</v>
      </c>
      <c r="U46" s="15" t="n">
        <v>-0.39</v>
      </c>
      <c r="V46" s="15" t="inlineStr">
        <is>
          <t>Room change</t>
        </is>
      </c>
      <c r="W46" s="16" t="inlineStr">
        <is>
          <t>New play-caller: Zac Robinson. Departures: Rachaad White.</t>
        </is>
      </c>
      <c r="X46" s="17" t="n"/>
      <c r="Y46" s="18">
        <f>IFS(X46="","",X46="Very undervalued",2, X46="Undervalued",1, X46="Evenly valued",0, X46="Overvalued",-1, X46="Very overvalued",-2,TRUE,"")</f>
        <v/>
      </c>
      <c r="Z46" s="17" t="n"/>
      <c r="AA46" s="17" t="n"/>
      <c r="AB46" s="19" t="n"/>
      <c r="AC46" s="19" t="n"/>
    </row>
    <row r="47">
      <c r="A47" s="15" t="n">
        <v>45</v>
      </c>
      <c r="B47" s="15" t="inlineStr">
        <is>
          <t>Malik Nabers</t>
        </is>
      </c>
      <c r="C47" s="15" t="inlineStr">
        <is>
          <t>WR</t>
        </is>
      </c>
      <c r="D47" s="15" t="inlineStr">
        <is>
          <t>NYG</t>
        </is>
      </c>
      <c r="E47" s="15" t="n">
        <v>8</v>
      </c>
      <c r="F47" s="15" t="inlineStr"/>
      <c r="G47" s="15" t="n">
        <v>43.5</v>
      </c>
      <c r="H47" s="15" t="n">
        <v>5</v>
      </c>
      <c r="I47" s="15" t="n">
        <v>224.4</v>
      </c>
      <c r="J47" s="15" t="n">
        <v>150.6</v>
      </c>
      <c r="K47" s="15" t="n">
        <v>11.1</v>
      </c>
      <c r="L47" s="15" t="n">
        <v>53</v>
      </c>
      <c r="M47" s="15" t="n">
        <v>-8</v>
      </c>
      <c r="N47" s="15" t="n">
        <v>0.3</v>
      </c>
      <c r="O47" s="15" t="n">
        <v>0.52</v>
      </c>
      <c r="P47" s="15" t="n">
        <v>0</v>
      </c>
      <c r="Q47" s="15" t="n">
        <v>0.02</v>
      </c>
      <c r="R47" s="15" t="n">
        <v>-0.02</v>
      </c>
      <c r="S47" s="15" t="n">
        <v>0.25</v>
      </c>
      <c r="T47" s="15" t="n">
        <v>0.5</v>
      </c>
      <c r="U47" s="15" t="n">
        <v>-0.33</v>
      </c>
      <c r="V47" s="15" t="inlineStr">
        <is>
          <t>Room change</t>
        </is>
      </c>
      <c r="W47" s="16" t="inlineStr">
        <is>
          <t>New play-caller: Matt Nagy. Arrivals in the room: Darnell Mooney. Departures: Wan'Dale Robinson.</t>
        </is>
      </c>
      <c r="X47" s="17" t="n"/>
      <c r="Y47" s="18">
        <f>IFS(X47="","",X47="Very undervalued",2, X47="Undervalued",1, X47="Evenly valued",0, X47="Overvalued",-1, X47="Very overvalued",-2,TRUE,"")</f>
        <v/>
      </c>
      <c r="Z47" s="17" t="n"/>
      <c r="AA47" s="17" t="n"/>
      <c r="AB47" s="19" t="n"/>
      <c r="AC47" s="19" t="n"/>
    </row>
    <row r="48">
      <c r="A48" s="15" t="n">
        <v>46</v>
      </c>
      <c r="B48" s="15" t="inlineStr">
        <is>
          <t>D'Andre Swift</t>
        </is>
      </c>
      <c r="C48" s="15" t="inlineStr">
        <is>
          <t>RB</t>
        </is>
      </c>
      <c r="D48" s="15" t="inlineStr">
        <is>
          <t>CHI</t>
        </is>
      </c>
      <c r="E48" s="15" t="n">
        <v>10</v>
      </c>
      <c r="F48" s="15" t="inlineStr"/>
      <c r="G48" s="15" t="n">
        <v>45.5</v>
      </c>
      <c r="H48" s="15" t="n">
        <v>5</v>
      </c>
      <c r="I48" s="15" t="n">
        <v>222.1</v>
      </c>
      <c r="J48" s="15" t="n">
        <v>169.3</v>
      </c>
      <c r="K48" s="15" t="n">
        <v>12.7</v>
      </c>
      <c r="L48" s="15" t="n">
        <v>48</v>
      </c>
      <c r="M48" s="15" t="n">
        <v>-2</v>
      </c>
      <c r="N48" s="15" t="n">
        <v>0.31</v>
      </c>
      <c r="O48" s="15" t="n">
        <v>0.03</v>
      </c>
      <c r="P48" s="15" t="n">
        <v>-0.1</v>
      </c>
      <c r="Q48" s="15" t="n">
        <v>0.16</v>
      </c>
      <c r="R48" s="15" t="n">
        <v>-0.13</v>
      </c>
      <c r="S48" s="15" t="n">
        <v>0.31</v>
      </c>
      <c r="T48" s="15" t="n">
        <v>0.12</v>
      </c>
      <c r="U48" s="15" t="n">
        <v>-0.03</v>
      </c>
      <c r="V48" s="15" t="inlineStr"/>
      <c r="W48" s="16" t="inlineStr"/>
      <c r="X48" s="17" t="n"/>
      <c r="Y48" s="18">
        <f>IFS(X48="","",X48="Very undervalued",2, X48="Undervalued",1, X48="Evenly valued",0, X48="Overvalued",-1, X48="Very overvalued",-2,TRUE,"")</f>
        <v/>
      </c>
      <c r="Z48" s="17" t="n"/>
      <c r="AA48" s="17" t="n"/>
      <c r="AB48" s="19" t="n"/>
      <c r="AC48" s="19" t="n"/>
    </row>
    <row r="49">
      <c r="A49" s="15" t="n">
        <v>47</v>
      </c>
      <c r="B49" s="15" t="inlineStr">
        <is>
          <t>Jaylen Waddle</t>
        </is>
      </c>
      <c r="C49" s="15" t="inlineStr">
        <is>
          <t>WR</t>
        </is>
      </c>
      <c r="D49" s="15" t="inlineStr">
        <is>
          <t>DEN</t>
        </is>
      </c>
      <c r="E49" s="15" t="n">
        <v>10</v>
      </c>
      <c r="F49" s="15" t="inlineStr"/>
      <c r="G49" s="15" t="n">
        <v>47.1</v>
      </c>
      <c r="H49" s="15" t="n">
        <v>5</v>
      </c>
      <c r="I49" s="15" t="n">
        <v>203.8</v>
      </c>
      <c r="J49" s="15" t="n">
        <v>146.6</v>
      </c>
      <c r="K49" s="15" t="n">
        <v>13.2</v>
      </c>
      <c r="L49" s="15" t="n">
        <v>92</v>
      </c>
      <c r="M49" s="15" t="n">
        <v>-45</v>
      </c>
      <c r="N49" s="15" t="n">
        <v>0.24</v>
      </c>
      <c r="O49" s="15" t="n">
        <v>-0.05</v>
      </c>
      <c r="P49" s="15" t="n">
        <v>0.12</v>
      </c>
      <c r="Q49" s="15" t="n">
        <v>-0.3</v>
      </c>
      <c r="R49" s="15" t="n">
        <v>0.24</v>
      </c>
      <c r="S49" s="15" t="n">
        <v>0.12</v>
      </c>
      <c r="T49" s="15" t="n">
        <v>0.19</v>
      </c>
      <c r="U49" s="15" t="n">
        <v>0.07000000000000001</v>
      </c>
      <c r="V49" s="15" t="inlineStr">
        <is>
          <t>New team</t>
        </is>
      </c>
      <c r="W49" s="16" t="inlineStr">
        <is>
          <t>Moved from MIA to DEN. New play-caller: Davis Webb. DEN sent 2026 1st (#30), 3rd (#94), 4th (#130); got Waddle + a 2026 4th (#111) [Broncos.com/ESPN]</t>
        </is>
      </c>
      <c r="X49" s="17" t="n"/>
      <c r="Y49" s="18">
        <f>IFS(X49="","",X49="Very undervalued",2, X49="Undervalued",1, X49="Evenly valued",0, X49="Overvalued",-1, X49="Very overvalued",-2,TRUE,"")</f>
        <v/>
      </c>
      <c r="Z49" s="17" t="n"/>
      <c r="AA49" s="17" t="n"/>
      <c r="AB49" s="19" t="n"/>
      <c r="AC49" s="19" t="n"/>
    </row>
    <row r="50">
      <c r="A50" s="15" t="n">
        <v>48</v>
      </c>
      <c r="B50" s="15" t="inlineStr">
        <is>
          <t>Quinshon Judkins</t>
        </is>
      </c>
      <c r="C50" s="15" t="inlineStr">
        <is>
          <t>RB</t>
        </is>
      </c>
      <c r="D50" s="15" t="inlineStr">
        <is>
          <t>CLE</t>
        </is>
      </c>
      <c r="E50" s="15" t="n">
        <v>11</v>
      </c>
      <c r="F50" s="15" t="inlineStr">
        <is>
          <t>Yes</t>
        </is>
      </c>
      <c r="G50" s="15" t="n">
        <v>48.2</v>
      </c>
      <c r="H50" s="15" t="n">
        <v>5</v>
      </c>
      <c r="I50" s="15" t="n">
        <v>214</v>
      </c>
      <c r="J50" s="15" t="n">
        <v>157.1</v>
      </c>
      <c r="K50" s="15" t="n">
        <v>12.2</v>
      </c>
      <c r="L50" s="15" t="n">
        <v>55</v>
      </c>
      <c r="M50" s="15" t="n">
        <v>-7</v>
      </c>
      <c r="N50" s="15" t="n">
        <v>0.2</v>
      </c>
      <c r="O50" s="15" t="n">
        <v>0.16</v>
      </c>
      <c r="P50" s="15" t="n">
        <v>-0.06</v>
      </c>
      <c r="Q50" s="15" t="n">
        <v>0.06</v>
      </c>
      <c r="R50" s="15" t="n">
        <v>-0.06</v>
      </c>
      <c r="S50" s="15" t="n">
        <v>0.14</v>
      </c>
      <c r="T50" s="15" t="n">
        <v>0.29</v>
      </c>
      <c r="U50" s="15" t="n">
        <v>-0.16</v>
      </c>
      <c r="V50" s="15" t="inlineStr">
        <is>
          <t>Context</t>
        </is>
      </c>
      <c r="W50" s="16" t="inlineStr">
        <is>
          <t>New play-caller: Todd Monken. New starting QB: unsettled QB competition.</t>
        </is>
      </c>
      <c r="X50" s="17" t="n"/>
      <c r="Y50" s="18">
        <f>IFS(X50="","",X50="Very undervalued",2, X50="Undervalued",1, X50="Evenly valued",0, X50="Overvalued",-1, X50="Very overvalued",-2,TRUE,"")</f>
        <v/>
      </c>
      <c r="Z50" s="17" t="n"/>
      <c r="AA50" s="17" t="n"/>
      <c r="AB50" s="19" t="n"/>
      <c r="AC50" s="19" t="n"/>
    </row>
    <row r="51">
      <c r="A51" s="15" t="n">
        <v>49</v>
      </c>
      <c r="B51" s="15" t="inlineStr">
        <is>
          <t>Jameson Williams</t>
        </is>
      </c>
      <c r="C51" s="15" t="inlineStr">
        <is>
          <t>WR</t>
        </is>
      </c>
      <c r="D51" s="15" t="inlineStr">
        <is>
          <t>DET</t>
        </is>
      </c>
      <c r="E51" s="15" t="n">
        <v>6</v>
      </c>
      <c r="F51" s="15" t="inlineStr"/>
      <c r="G51" s="15" t="n">
        <v>49</v>
      </c>
      <c r="H51" s="15" t="n">
        <v>5</v>
      </c>
      <c r="I51" s="15" t="n">
        <v>217.3</v>
      </c>
      <c r="J51" s="15" t="n">
        <v>182.9</v>
      </c>
      <c r="K51" s="15" t="n">
        <v>13.8</v>
      </c>
      <c r="L51" s="15" t="n">
        <v>62</v>
      </c>
      <c r="M51" s="15" t="n">
        <v>-13</v>
      </c>
      <c r="N51" s="15" t="n">
        <v>0.3</v>
      </c>
      <c r="O51" s="15" t="n">
        <v>0.06</v>
      </c>
      <c r="P51" s="15" t="n">
        <v>-0.29</v>
      </c>
      <c r="Q51" s="15" t="n">
        <v>0.44</v>
      </c>
      <c r="R51" s="15" t="n">
        <v>-0.34</v>
      </c>
      <c r="S51" s="15" t="n">
        <v>0.18</v>
      </c>
      <c r="T51" s="15" t="n">
        <v>0.29</v>
      </c>
      <c r="U51" s="15" t="n">
        <v>0.44</v>
      </c>
      <c r="V51" s="15" t="inlineStr">
        <is>
          <t>Context</t>
        </is>
      </c>
      <c r="W51" s="16" t="inlineStr">
        <is>
          <t>New play-caller: Drew Petzing.</t>
        </is>
      </c>
      <c r="X51" s="17" t="n"/>
      <c r="Y51" s="18">
        <f>IFS(X51="","",X51="Very undervalued",2, X51="Undervalued",1, X51="Evenly valued",0, X51="Overvalued",-1, X51="Very overvalued",-2,TRUE,"")</f>
        <v/>
      </c>
      <c r="Z51" s="17" t="n"/>
      <c r="AA51" s="17" t="n"/>
      <c r="AB51" s="19" t="n"/>
      <c r="AC51" s="19" t="n"/>
    </row>
    <row r="52">
      <c r="A52" s="15" t="n">
        <v>50</v>
      </c>
      <c r="B52" s="15" t="inlineStr">
        <is>
          <t>Luther Burden III</t>
        </is>
      </c>
      <c r="C52" s="15" t="inlineStr">
        <is>
          <t>WR</t>
        </is>
      </c>
      <c r="D52" s="15" t="inlineStr">
        <is>
          <t>CHI</t>
        </is>
      </c>
      <c r="E52" s="15" t="n">
        <v>10</v>
      </c>
      <c r="F52" s="15" t="inlineStr">
        <is>
          <t>Yes</t>
        </is>
      </c>
      <c r="G52" s="15" t="n">
        <v>52</v>
      </c>
      <c r="H52" s="15" t="n">
        <v>6</v>
      </c>
      <c r="I52" s="15" t="n">
        <v>206.4</v>
      </c>
      <c r="J52" s="15" t="n">
        <v>142.4</v>
      </c>
      <c r="K52" s="15" t="n">
        <v>13.2</v>
      </c>
      <c r="L52" s="15" t="n">
        <v>87</v>
      </c>
      <c r="M52" s="15" t="n">
        <v>-37</v>
      </c>
      <c r="N52" s="15" t="n">
        <v>0.08</v>
      </c>
      <c r="O52" s="15" t="n">
        <v>0.27</v>
      </c>
      <c r="P52" s="15" t="n">
        <v>0.05</v>
      </c>
      <c r="Q52" s="15" t="n">
        <v>-0.28</v>
      </c>
      <c r="R52" s="15" t="n">
        <v>0.17</v>
      </c>
      <c r="S52" s="15" t="n">
        <v>0.07000000000000001</v>
      </c>
      <c r="T52" s="15" t="n">
        <v>0.4</v>
      </c>
      <c r="U52" s="15" t="n">
        <v>0.07000000000000001</v>
      </c>
      <c r="V52" s="15" t="inlineStr">
        <is>
          <t>Room change</t>
        </is>
      </c>
      <c r="W52" s="16" t="inlineStr">
        <is>
          <t>Departures: DJ Moore.</t>
        </is>
      </c>
      <c r="X52" s="17" t="n"/>
      <c r="Y52" s="18">
        <f>IFS(X52="","",X52="Very undervalued",2, X52="Undervalued",1, X52="Evenly valued",0, X52="Overvalued",-1, X52="Very overvalued",-2,TRUE,"")</f>
        <v/>
      </c>
      <c r="Z52" s="17" t="n"/>
      <c r="AA52" s="17" t="n"/>
      <c r="AB52" s="19" t="n"/>
      <c r="AC52" s="19" t="n"/>
    </row>
    <row r="53">
      <c r="A53" s="15" t="n">
        <v>51</v>
      </c>
      <c r="B53" s="15" t="inlineStr">
        <is>
          <t>Drake Maye</t>
        </is>
      </c>
      <c r="C53" s="15" t="inlineStr">
        <is>
          <t>QB</t>
        </is>
      </c>
      <c r="D53" s="15" t="inlineStr">
        <is>
          <t>NE</t>
        </is>
      </c>
      <c r="E53" s="15" t="n">
        <v>11</v>
      </c>
      <c r="F53" s="15" t="inlineStr"/>
      <c r="G53" s="15" t="n">
        <v>53</v>
      </c>
      <c r="H53" s="15" t="n">
        <v>6</v>
      </c>
      <c r="I53" s="15" t="n">
        <v>316.5</v>
      </c>
      <c r="J53" s="15" t="n">
        <v>261.3</v>
      </c>
      <c r="K53" s="15" t="n">
        <v>14.4</v>
      </c>
      <c r="L53" s="15" t="n">
        <v>42</v>
      </c>
      <c r="M53" s="15" t="n">
        <v>9</v>
      </c>
      <c r="N53" s="15" t="n">
        <v>0.08</v>
      </c>
      <c r="O53" s="15" t="n">
        <v>0.01</v>
      </c>
      <c r="P53" s="15" t="n">
        <v>-0.44</v>
      </c>
      <c r="Q53" s="15" t="n">
        <v>0.44</v>
      </c>
      <c r="R53" s="15" t="n">
        <v>-0.44</v>
      </c>
      <c r="S53" s="15" t="n">
        <v>0.24</v>
      </c>
      <c r="T53" s="15" t="n">
        <v>0</v>
      </c>
      <c r="U53" s="15" t="n">
        <v>0.44</v>
      </c>
      <c r="V53" s="15" t="inlineStr"/>
      <c r="W53" s="16" t="inlineStr"/>
      <c r="X53" s="17" t="n"/>
      <c r="Y53" s="18">
        <f>IFS(X53="","",X53="Very undervalued",2, X53="Undervalued",1, X53="Evenly valued",0, X53="Overvalued",-1, X53="Very overvalued",-2,TRUE,"")</f>
        <v/>
      </c>
      <c r="Z53" s="17" t="n"/>
      <c r="AA53" s="17" t="n"/>
      <c r="AB53" s="19" t="n"/>
      <c r="AC53" s="19" t="n"/>
    </row>
    <row r="54">
      <c r="A54" s="15" t="n">
        <v>52</v>
      </c>
      <c r="B54" s="15" t="inlineStr">
        <is>
          <t>Joe Burrow</t>
        </is>
      </c>
      <c r="C54" s="15" t="inlineStr">
        <is>
          <t>QB</t>
        </is>
      </c>
      <c r="D54" s="15" t="inlineStr">
        <is>
          <t>CIN</t>
        </is>
      </c>
      <c r="E54" s="15" t="n">
        <v>6</v>
      </c>
      <c r="F54" s="15" t="inlineStr"/>
      <c r="G54" s="15" t="n">
        <v>53.9</v>
      </c>
      <c r="H54" s="15" t="n">
        <v>6</v>
      </c>
      <c r="I54" s="15" t="n">
        <v>299.2</v>
      </c>
      <c r="J54" s="15" t="n">
        <v>162.5</v>
      </c>
      <c r="K54" s="15" t="n">
        <v>9.300000000000001</v>
      </c>
      <c r="L54" s="15" t="n">
        <v>61</v>
      </c>
      <c r="M54" s="15" t="n">
        <v>-9</v>
      </c>
      <c r="N54" s="15" t="n">
        <v>-0.03</v>
      </c>
      <c r="O54" s="15" t="n">
        <v>0.5600000000000001</v>
      </c>
      <c r="P54" s="15" t="n">
        <v>0.35</v>
      </c>
      <c r="Q54" s="15" t="n">
        <v>-0.35</v>
      </c>
      <c r="R54" s="15" t="n">
        <v>0.35</v>
      </c>
      <c r="S54" s="15" t="n">
        <v>0.12</v>
      </c>
      <c r="T54" s="15" t="n">
        <v>0.38</v>
      </c>
      <c r="U54" s="15" t="n">
        <v>-0.35</v>
      </c>
      <c r="V54" s="15" t="inlineStr">
        <is>
          <t>Room change</t>
        </is>
      </c>
      <c r="W54" s="16" t="inlineStr">
        <is>
          <t>Departures: Jake Browning.</t>
        </is>
      </c>
      <c r="X54" s="17" t="n"/>
      <c r="Y54" s="18">
        <f>IFS(X54="","",X54="Very undervalued",2, X54="Undervalued",1, X54="Evenly valued",0, X54="Overvalued",-1, X54="Very overvalued",-2,TRUE,"")</f>
        <v/>
      </c>
      <c r="Z54" s="17" t="n"/>
      <c r="AA54" s="17" t="n"/>
      <c r="AB54" s="19" t="n"/>
      <c r="AC54" s="19" t="n"/>
    </row>
    <row r="55">
      <c r="A55" s="15" t="n">
        <v>53</v>
      </c>
      <c r="B55" s="15" t="inlineStr">
        <is>
          <t>Lamar Jackson</t>
        </is>
      </c>
      <c r="C55" s="15" t="inlineStr">
        <is>
          <t>QB</t>
        </is>
      </c>
      <c r="D55" s="15" t="inlineStr">
        <is>
          <t>BAL</t>
        </is>
      </c>
      <c r="E55" s="15" t="n">
        <v>13</v>
      </c>
      <c r="F55" s="15" t="inlineStr"/>
      <c r="G55" s="15" t="n">
        <v>54.1</v>
      </c>
      <c r="H55" s="15" t="n">
        <v>6</v>
      </c>
      <c r="I55" s="15" t="n">
        <v>314.7</v>
      </c>
      <c r="J55" s="15" t="n">
        <v>221.1</v>
      </c>
      <c r="K55" s="15" t="n">
        <v>12.2</v>
      </c>
      <c r="L55" s="15" t="n">
        <v>44</v>
      </c>
      <c r="M55" s="15" t="n">
        <v>9</v>
      </c>
      <c r="N55" s="15" t="n">
        <v>0.03</v>
      </c>
      <c r="O55" s="15" t="n">
        <v>0.16</v>
      </c>
      <c r="P55" s="15" t="n">
        <v>0</v>
      </c>
      <c r="Q55" s="15" t="n">
        <v>0</v>
      </c>
      <c r="R55" s="15" t="n">
        <v>0</v>
      </c>
      <c r="S55" s="15" t="n">
        <v>0.31</v>
      </c>
      <c r="T55" s="15" t="n">
        <v>0.38</v>
      </c>
      <c r="U55" s="15" t="n">
        <v>-0.18</v>
      </c>
      <c r="V55" s="15" t="inlineStr">
        <is>
          <t>Context</t>
        </is>
      </c>
      <c r="W55" s="16" t="inlineStr">
        <is>
          <t>New play-caller: Declan Doyle.</t>
        </is>
      </c>
      <c r="X55" s="17" t="n"/>
      <c r="Y55" s="18">
        <f>IFS(X55="","",X55="Very undervalued",2, X55="Undervalued",1, X55="Evenly valued",0, X55="Overvalued",-1, X55="Very overvalued",-2,TRUE,"")</f>
        <v/>
      </c>
      <c r="Z55" s="17" t="n"/>
      <c r="AA55" s="17" t="n"/>
      <c r="AB55" s="19" t="n"/>
      <c r="AC55" s="19" t="n"/>
    </row>
    <row r="56">
      <c r="A56" s="15" t="n">
        <v>54</v>
      </c>
      <c r="B56" s="15" t="inlineStr">
        <is>
          <t>Rome Odunze</t>
        </is>
      </c>
      <c r="C56" s="15" t="inlineStr">
        <is>
          <t>WR</t>
        </is>
      </c>
      <c r="D56" s="15" t="inlineStr">
        <is>
          <t>CHI</t>
        </is>
      </c>
      <c r="E56" s="15" t="n">
        <v>10</v>
      </c>
      <c r="F56" s="15" t="inlineStr"/>
      <c r="G56" s="15" t="n">
        <v>54.3</v>
      </c>
      <c r="H56" s="15" t="n">
        <v>6</v>
      </c>
      <c r="I56" s="15" t="n">
        <v>210.2</v>
      </c>
      <c r="J56" s="15" t="n">
        <v>146.7</v>
      </c>
      <c r="K56" s="15" t="n">
        <v>11.6</v>
      </c>
      <c r="L56" s="15" t="n">
        <v>78</v>
      </c>
      <c r="M56" s="15" t="n">
        <v>-24</v>
      </c>
      <c r="N56" s="15" t="n">
        <v>0.28</v>
      </c>
      <c r="O56" s="15" t="n">
        <v>0.26</v>
      </c>
      <c r="P56" s="15" t="n">
        <v>-0.17</v>
      </c>
      <c r="Q56" s="15" t="n">
        <v>0.15</v>
      </c>
      <c r="R56" s="15" t="n">
        <v>-0.15</v>
      </c>
      <c r="S56" s="15" t="n">
        <v>0.17</v>
      </c>
      <c r="T56" s="15" t="n">
        <v>0.33</v>
      </c>
      <c r="U56" s="15" t="n">
        <v>-0.24</v>
      </c>
      <c r="V56" s="15" t="inlineStr">
        <is>
          <t>Room change</t>
        </is>
      </c>
      <c r="W56" s="16" t="inlineStr">
        <is>
          <t>Departures: DJ Moore.</t>
        </is>
      </c>
      <c r="X56" s="17" t="n"/>
      <c r="Y56" s="18">
        <f>IFS(X56="","",X56="Very undervalued",2, X56="Undervalued",1, X56="Evenly valued",0, X56="Overvalued",-1, X56="Very overvalued",-2,TRUE,"")</f>
        <v/>
      </c>
      <c r="Z56" s="17" t="n"/>
      <c r="AA56" s="17" t="n"/>
      <c r="AB56" s="19" t="n"/>
      <c r="AC56" s="19" t="n"/>
    </row>
    <row r="57">
      <c r="A57" s="15" t="n">
        <v>55</v>
      </c>
      <c r="B57" s="15" t="inlineStr">
        <is>
          <t>TreVeyon Henderson</t>
        </is>
      </c>
      <c r="C57" s="15" t="inlineStr">
        <is>
          <t>RB</t>
        </is>
      </c>
      <c r="D57" s="15" t="inlineStr">
        <is>
          <t>NE</t>
        </is>
      </c>
      <c r="E57" s="15" t="n">
        <v>11</v>
      </c>
      <c r="F57" s="15" t="inlineStr">
        <is>
          <t>Yes</t>
        </is>
      </c>
      <c r="G57" s="15" t="n">
        <v>56.7</v>
      </c>
      <c r="H57" s="15" t="n">
        <v>6</v>
      </c>
      <c r="I57" s="15" t="n">
        <v>201.6</v>
      </c>
      <c r="J57" s="15" t="n">
        <v>167.3</v>
      </c>
      <c r="K57" s="15" t="n">
        <v>13.5</v>
      </c>
      <c r="L57" s="15" t="n">
        <v>77</v>
      </c>
      <c r="M57" s="15" t="n">
        <v>-22</v>
      </c>
      <c r="N57" s="15" t="n">
        <v>0.29</v>
      </c>
      <c r="O57" s="15" t="n">
        <v>0.18</v>
      </c>
      <c r="P57" s="15" t="n">
        <v>-0.35</v>
      </c>
      <c r="Q57" s="15" t="n">
        <v>0.35</v>
      </c>
      <c r="R57" s="15" t="n">
        <v>-0.35</v>
      </c>
      <c r="S57" s="15" t="n">
        <v>0.18</v>
      </c>
      <c r="T57" s="15" t="n">
        <v>0.35</v>
      </c>
      <c r="U57" s="15" t="n">
        <v>0.48</v>
      </c>
      <c r="V57" s="15" t="inlineStr"/>
      <c r="W57" s="16" t="inlineStr"/>
      <c r="X57" s="17" t="n"/>
      <c r="Y57" s="18">
        <f>IFS(X57="","",X57="Very undervalued",2, X57="Undervalued",1, X57="Evenly valued",0, X57="Overvalued",-1, X57="Very overvalued",-2,TRUE,"")</f>
        <v/>
      </c>
      <c r="Z57" s="17" t="n"/>
      <c r="AA57" s="17" t="n"/>
      <c r="AB57" s="19" t="n"/>
      <c r="AC57" s="19" t="n"/>
    </row>
    <row r="58">
      <c r="A58" s="15" t="n">
        <v>56</v>
      </c>
      <c r="B58" s="15" t="inlineStr">
        <is>
          <t>Bhayshul Tuten</t>
        </is>
      </c>
      <c r="C58" s="15" t="inlineStr">
        <is>
          <t>RB</t>
        </is>
      </c>
      <c r="D58" s="15" t="inlineStr">
        <is>
          <t>JAX</t>
        </is>
      </c>
      <c r="E58" s="15" t="n">
        <v>7</v>
      </c>
      <c r="F58" s="15" t="inlineStr"/>
      <c r="G58" s="15" t="n">
        <v>57.2</v>
      </c>
      <c r="H58" s="15" t="n">
        <v>6</v>
      </c>
      <c r="I58" s="15" t="n">
        <v>208</v>
      </c>
      <c r="J58" s="15" t="n">
        <v>161</v>
      </c>
      <c r="K58" s="15" t="n">
        <v>12.6</v>
      </c>
      <c r="L58" s="15" t="n">
        <v>63</v>
      </c>
      <c r="M58" s="15" t="n">
        <v>-7</v>
      </c>
      <c r="N58" s="15" t="n">
        <v>0.23</v>
      </c>
      <c r="O58" s="15" t="n">
        <v>0.49</v>
      </c>
      <c r="P58" s="15" t="n">
        <v>-0.23</v>
      </c>
      <c r="Q58" s="15" t="n">
        <v>0.19</v>
      </c>
      <c r="R58" s="15" t="n">
        <v>-0.19</v>
      </c>
      <c r="S58" s="15" t="n">
        <v>0</v>
      </c>
      <c r="T58" s="15" t="n">
        <v>0.53</v>
      </c>
      <c r="U58" s="15" t="n">
        <v>-0.06</v>
      </c>
      <c r="V58" s="15" t="inlineStr">
        <is>
          <t>Room change</t>
        </is>
      </c>
      <c r="W58" s="16" t="inlineStr">
        <is>
          <t>Arrivals in the room: Chris Rodriguez Jr.. Departures: Travis Etienne Jr..</t>
        </is>
      </c>
      <c r="X58" s="17" t="n"/>
      <c r="Y58" s="18">
        <f>IFS(X58="","",X58="Very undervalued",2, X58="Undervalued",1, X58="Evenly valued",0, X58="Overvalued",-1, X58="Very overvalued",-2,TRUE,"")</f>
        <v/>
      </c>
      <c r="Z58" s="17" t="n"/>
      <c r="AA58" s="17" t="n"/>
      <c r="AB58" s="19" t="n"/>
      <c r="AC58" s="19" t="n"/>
    </row>
    <row r="59">
      <c r="A59" s="15" t="n">
        <v>57</v>
      </c>
      <c r="B59" s="15" t="inlineStr">
        <is>
          <t>Mike Evans</t>
        </is>
      </c>
      <c r="C59" s="15" t="inlineStr">
        <is>
          <t>WR</t>
        </is>
      </c>
      <c r="D59" s="15" t="inlineStr">
        <is>
          <t>SF</t>
        </is>
      </c>
      <c r="E59" s="15" t="n">
        <v>8</v>
      </c>
      <c r="F59" s="15" t="inlineStr"/>
      <c r="G59" s="15" t="n">
        <v>57.5</v>
      </c>
      <c r="H59" s="15" t="n">
        <v>6</v>
      </c>
      <c r="I59" s="15" t="n">
        <v>196.4</v>
      </c>
      <c r="J59" s="15" t="n">
        <v>82.7</v>
      </c>
      <c r="K59" s="15" t="n">
        <v>8.1</v>
      </c>
      <c r="L59" s="15" t="n">
        <v>100</v>
      </c>
      <c r="M59" s="15" t="n">
        <v>-43</v>
      </c>
      <c r="N59" s="15" t="n">
        <v>0.15</v>
      </c>
      <c r="O59" s="15" t="n">
        <v>0.13</v>
      </c>
      <c r="P59" s="15" t="n">
        <v>0.49</v>
      </c>
      <c r="Q59" s="15" t="n">
        <v>-0.27</v>
      </c>
      <c r="R59" s="15" t="n">
        <v>0.49</v>
      </c>
      <c r="S59" s="15" t="n">
        <v>0</v>
      </c>
      <c r="T59" s="15" t="n">
        <v>0.25</v>
      </c>
      <c r="U59" s="15" t="n">
        <v>-0.49</v>
      </c>
      <c r="V59" s="15" t="inlineStr">
        <is>
          <t>New team</t>
        </is>
      </c>
      <c r="W59" s="16" t="inlineStr">
        <is>
          <t>Moved from TB to SF. Arrivals in the room: Brandon Aiyuk, Christian Kirk, De'Zhaun Stribling. Departures: Jauan Jennings.</t>
        </is>
      </c>
      <c r="X59" s="17" t="n"/>
      <c r="Y59" s="18">
        <f>IFS(X59="","",X59="Very undervalued",2, X59="Undervalued",1, X59="Evenly valued",0, X59="Overvalued",-1, X59="Very overvalued",-2,TRUE,"")</f>
        <v/>
      </c>
      <c r="Z59" s="17" t="n"/>
      <c r="AA59" s="17" t="n"/>
      <c r="AB59" s="19" t="n"/>
      <c r="AC59" s="19" t="n"/>
    </row>
    <row r="60">
      <c r="A60" s="15" t="n">
        <v>58</v>
      </c>
      <c r="B60" s="15" t="inlineStr">
        <is>
          <t>Colston Loveland</t>
        </is>
      </c>
      <c r="C60" s="15" t="inlineStr">
        <is>
          <t>TE</t>
        </is>
      </c>
      <c r="D60" s="15" t="inlineStr">
        <is>
          <t>CHI</t>
        </is>
      </c>
      <c r="E60" s="15" t="n">
        <v>10</v>
      </c>
      <c r="F60" s="15" t="inlineStr">
        <is>
          <t>Yes</t>
        </is>
      </c>
      <c r="G60" s="15" t="n">
        <v>57.8</v>
      </c>
      <c r="H60" s="15" t="n">
        <v>6</v>
      </c>
      <c r="I60" s="15" t="n">
        <v>207.8</v>
      </c>
      <c r="J60" s="15" t="n">
        <v>165.9</v>
      </c>
      <c r="K60" s="15" t="n">
        <v>13.5</v>
      </c>
      <c r="L60" s="15" t="n">
        <v>32</v>
      </c>
      <c r="M60" s="15" t="n">
        <v>26</v>
      </c>
      <c r="N60" s="15" t="n">
        <v>0.18</v>
      </c>
      <c r="O60" s="15" t="n">
        <v>0.34</v>
      </c>
      <c r="P60" s="15" t="n">
        <v>-0.44</v>
      </c>
      <c r="Q60" s="15" t="n">
        <v>0.44</v>
      </c>
      <c r="R60" s="15" t="n">
        <v>-0.44</v>
      </c>
      <c r="S60" s="15" t="n">
        <v>0.19</v>
      </c>
      <c r="T60" s="15" t="n">
        <v>0.19</v>
      </c>
      <c r="U60" s="15" t="n">
        <v>0</v>
      </c>
      <c r="V60" s="15" t="inlineStr"/>
      <c r="W60" s="16" t="inlineStr"/>
      <c r="X60" s="17" t="n"/>
      <c r="Y60" s="18">
        <f>IFS(X60="","",X60="Very undervalued",2, X60="Undervalued",1, X60="Evenly valued",0, X60="Overvalued",-1, X60="Very overvalued",-2,TRUE,"")</f>
        <v/>
      </c>
      <c r="Z60" s="17" t="n"/>
      <c r="AA60" s="17" t="n"/>
      <c r="AB60" s="19" t="n"/>
      <c r="AC60" s="19" t="n"/>
    </row>
    <row r="61">
      <c r="A61" s="15" t="n">
        <v>59</v>
      </c>
      <c r="B61" s="15" t="inlineStr">
        <is>
          <t>David Montgomery</t>
        </is>
      </c>
      <c r="C61" s="15" t="inlineStr">
        <is>
          <t>RB</t>
        </is>
      </c>
      <c r="D61" s="15" t="inlineStr">
        <is>
          <t>HOU</t>
        </is>
      </c>
      <c r="E61" s="15" t="n">
        <v>8</v>
      </c>
      <c r="F61" s="15" t="inlineStr"/>
      <c r="G61" s="15" t="n">
        <v>59.5</v>
      </c>
      <c r="H61" s="15" t="n">
        <v>6</v>
      </c>
      <c r="I61" s="15" t="n">
        <v>191.6</v>
      </c>
      <c r="J61" s="15" t="n">
        <v>113.5</v>
      </c>
      <c r="K61" s="15" t="n">
        <v>13</v>
      </c>
      <c r="L61" s="15" t="n">
        <v>95</v>
      </c>
      <c r="M61" s="15" t="n">
        <v>-36</v>
      </c>
      <c r="N61" s="15" t="n">
        <v>0.2</v>
      </c>
      <c r="O61" s="15" t="n">
        <v>0.27</v>
      </c>
      <c r="P61" s="15" t="n">
        <v>0.16</v>
      </c>
      <c r="Q61" s="15" t="n">
        <v>-0.27</v>
      </c>
      <c r="R61" s="15" t="n">
        <v>0.16</v>
      </c>
      <c r="S61" s="15" t="n">
        <v>0.06</v>
      </c>
      <c r="T61" s="15" t="n">
        <v>0.29</v>
      </c>
      <c r="U61" s="15" t="n">
        <v>0.16</v>
      </c>
      <c r="V61" s="15" t="inlineStr">
        <is>
          <t>New team</t>
        </is>
      </c>
      <c r="W61" s="16" t="inlineStr">
        <is>
          <t>Moved from DET to HOU. Departures: Nick Chubb. HOU sent G Juice Scruggs + a 2026 4th + a 2027 7th [CBS trade tracker]</t>
        </is>
      </c>
      <c r="X61" s="17" t="n"/>
      <c r="Y61" s="18">
        <f>IFS(X61="","",X61="Very undervalued",2, X61="Undervalued",1, X61="Evenly valued",0, X61="Overvalued",-1, X61="Very overvalued",-2,TRUE,"")</f>
        <v/>
      </c>
      <c r="Z61" s="17" t="n"/>
      <c r="AA61" s="17" t="n"/>
      <c r="AB61" s="19" t="n"/>
      <c r="AC61" s="19" t="n"/>
    </row>
    <row r="62">
      <c r="A62" s="15" t="n">
        <v>60</v>
      </c>
      <c r="B62" s="15" t="inlineStr">
        <is>
          <t>Tyler Warren</t>
        </is>
      </c>
      <c r="C62" s="15" t="inlineStr">
        <is>
          <t>TE</t>
        </is>
      </c>
      <c r="D62" s="15" t="inlineStr">
        <is>
          <t>IND</t>
        </is>
      </c>
      <c r="E62" s="15" t="n">
        <v>13</v>
      </c>
      <c r="F62" s="15" t="inlineStr">
        <is>
          <t>Yes</t>
        </is>
      </c>
      <c r="G62" s="15" t="n">
        <v>63.4</v>
      </c>
      <c r="H62" s="15" t="n">
        <v>7</v>
      </c>
      <c r="I62" s="15" t="n">
        <v>201.8</v>
      </c>
      <c r="J62" s="15" t="n">
        <v>162.7</v>
      </c>
      <c r="K62" s="15" t="n">
        <v>13.8</v>
      </c>
      <c r="L62" s="15" t="n">
        <v>35</v>
      </c>
      <c r="M62" s="15" t="n">
        <v>25</v>
      </c>
      <c r="N62" s="15" t="n">
        <v>-0</v>
      </c>
      <c r="O62" s="15" t="n">
        <v>0.2</v>
      </c>
      <c r="P62" s="15" t="n">
        <v>-0.15</v>
      </c>
      <c r="Q62" s="15" t="n">
        <v>0.35</v>
      </c>
      <c r="R62" s="15" t="n">
        <v>-0.35</v>
      </c>
      <c r="S62" s="15" t="n">
        <v>0.24</v>
      </c>
      <c r="T62" s="15" t="n">
        <v>0.06</v>
      </c>
      <c r="U62" s="15" t="n">
        <v>0.45</v>
      </c>
      <c r="V62" s="15" t="inlineStr"/>
      <c r="W62" s="16" t="inlineStr"/>
      <c r="X62" s="17" t="n"/>
      <c r="Y62" s="18">
        <f>IFS(X62="","",X62="Very undervalued",2, X62="Undervalued",1, X62="Evenly valued",0, X62="Overvalued",-1, X62="Very overvalued",-2,TRUE,"")</f>
        <v/>
      </c>
      <c r="Z62" s="17" t="n"/>
      <c r="AA62" s="17" t="n"/>
      <c r="AB62" s="19" t="n"/>
      <c r="AC62" s="19" t="n"/>
    </row>
    <row r="63">
      <c r="A63" s="15" t="n">
        <v>61</v>
      </c>
      <c r="B63" s="15" t="inlineStr">
        <is>
          <t>DJ Moore</t>
        </is>
      </c>
      <c r="C63" s="15" t="inlineStr">
        <is>
          <t>WR</t>
        </is>
      </c>
      <c r="D63" s="15" t="inlineStr">
        <is>
          <t>BUF</t>
        </is>
      </c>
      <c r="E63" s="15" t="n">
        <v>7</v>
      </c>
      <c r="F63" s="15" t="inlineStr"/>
      <c r="G63" s="15" t="n">
        <v>63.7</v>
      </c>
      <c r="H63" s="15" t="n">
        <v>7</v>
      </c>
      <c r="I63" s="15" t="n">
        <v>205.3</v>
      </c>
      <c r="J63" s="15" t="n">
        <v>146.7</v>
      </c>
      <c r="K63" s="15" t="n">
        <v>13.5</v>
      </c>
      <c r="L63" s="15" t="n">
        <v>89</v>
      </c>
      <c r="M63" s="15" t="n">
        <v>-28</v>
      </c>
      <c r="N63" s="15" t="n">
        <v>0.27</v>
      </c>
      <c r="O63" s="15" t="n">
        <v>0.2</v>
      </c>
      <c r="P63" s="15" t="n">
        <v>0</v>
      </c>
      <c r="Q63" s="15" t="n">
        <v>-0.26</v>
      </c>
      <c r="R63" s="15" t="n">
        <v>0.15</v>
      </c>
      <c r="S63" s="15" t="n">
        <v>0.24</v>
      </c>
      <c r="T63" s="15" t="n">
        <v>0.35</v>
      </c>
      <c r="U63" s="15" t="n">
        <v>0.29</v>
      </c>
      <c r="V63" s="15" t="inlineStr">
        <is>
          <t>New team</t>
        </is>
      </c>
      <c r="W63" s="16" t="inlineStr">
        <is>
          <t>Moved from CHI to BUF.</t>
        </is>
      </c>
      <c r="X63" s="17" t="n"/>
      <c r="Y63" s="18">
        <f>IFS(X63="","",X63="Very undervalued",2, X63="Undervalued",1, X63="Evenly valued",0, X63="Overvalued",-1, X63="Very overvalued",-2,TRUE,"")</f>
        <v/>
      </c>
      <c r="Z63" s="17" t="n"/>
      <c r="AA63" s="17" t="n"/>
      <c r="AB63" s="19" t="n"/>
      <c r="AC63" s="19" t="n"/>
    </row>
    <row r="64">
      <c r="A64" s="15" t="n">
        <v>62</v>
      </c>
      <c r="B64" s="15" t="inlineStr">
        <is>
          <t>DK Metcalf</t>
        </is>
      </c>
      <c r="C64" s="15" t="inlineStr">
        <is>
          <t>WR</t>
        </is>
      </c>
      <c r="D64" s="15" t="inlineStr">
        <is>
          <t>PIT</t>
        </is>
      </c>
      <c r="E64" s="15" t="n">
        <v>9</v>
      </c>
      <c r="F64" s="15" t="inlineStr"/>
      <c r="G64" s="15" t="n">
        <v>63.8</v>
      </c>
      <c r="H64" s="15" t="n">
        <v>7</v>
      </c>
      <c r="I64" s="15" t="n">
        <v>194.3</v>
      </c>
      <c r="J64" s="15" t="n">
        <v>134.2</v>
      </c>
      <c r="K64" s="15" t="n">
        <v>12.7</v>
      </c>
      <c r="L64" s="15" t="n">
        <v>104</v>
      </c>
      <c r="M64" s="15" t="n">
        <v>-42</v>
      </c>
      <c r="N64" s="15" t="n">
        <v>0.29</v>
      </c>
      <c r="O64" s="15" t="n">
        <v>-0.1</v>
      </c>
      <c r="P64" s="15" t="n">
        <v>0.2</v>
      </c>
      <c r="Q64" s="15" t="n">
        <v>-0.24</v>
      </c>
      <c r="R64" s="15" t="n">
        <v>0.27</v>
      </c>
      <c r="S64" s="15" t="n">
        <v>0.13</v>
      </c>
      <c r="T64" s="15" t="n">
        <v>0.07000000000000001</v>
      </c>
      <c r="U64" s="15" t="n">
        <v>-0.05</v>
      </c>
      <c r="V64" s="15" t="inlineStr">
        <is>
          <t>Room change</t>
        </is>
      </c>
      <c r="W64" s="16" t="inlineStr">
        <is>
          <t>New play-caller: Mike McCarthy. Arrivals in the room: Germie Bernard, Michael Pittman Jr..</t>
        </is>
      </c>
      <c r="X64" s="17" t="n"/>
      <c r="Y64" s="18">
        <f>IFS(X64="","",X64="Very undervalued",2, X64="Undervalued",1, X64="Evenly valued",0, X64="Overvalued",-1, X64="Very overvalued",-2,TRUE,"")</f>
        <v/>
      </c>
      <c r="Z64" s="17" t="n"/>
      <c r="AA64" s="17" t="n"/>
      <c r="AB64" s="19" t="n"/>
      <c r="AC64" s="19" t="n"/>
    </row>
    <row r="65">
      <c r="A65" s="15" t="n">
        <v>63</v>
      </c>
      <c r="B65" s="15" t="inlineStr">
        <is>
          <t>Tony Pollard</t>
        </is>
      </c>
      <c r="C65" s="15" t="inlineStr">
        <is>
          <t>RB</t>
        </is>
      </c>
      <c r="D65" s="15" t="inlineStr">
        <is>
          <t>TEN</t>
        </is>
      </c>
      <c r="E65" s="15" t="n">
        <v>9</v>
      </c>
      <c r="F65" s="15" t="inlineStr"/>
      <c r="G65" s="15" t="n">
        <v>63.9</v>
      </c>
      <c r="H65" s="15" t="n">
        <v>7</v>
      </c>
      <c r="I65" s="15" t="n">
        <v>191.4</v>
      </c>
      <c r="J65" s="15" t="n">
        <v>114.6</v>
      </c>
      <c r="K65" s="15" t="n">
        <v>13</v>
      </c>
      <c r="L65" s="15" t="n">
        <v>96</v>
      </c>
      <c r="M65" s="15" t="n">
        <v>-33</v>
      </c>
      <c r="N65" s="15" t="n">
        <v>0.15</v>
      </c>
      <c r="O65" s="15" t="n">
        <v>-0.03</v>
      </c>
      <c r="P65" s="15" t="n">
        <v>0.29</v>
      </c>
      <c r="Q65" s="15" t="n">
        <v>-0.26</v>
      </c>
      <c r="R65" s="15" t="n">
        <v>0.29</v>
      </c>
      <c r="S65" s="15" t="n">
        <v>0.06</v>
      </c>
      <c r="T65" s="15" t="n">
        <v>0.12</v>
      </c>
      <c r="U65" s="15" t="n">
        <v>0.13</v>
      </c>
      <c r="V65" s="15" t="inlineStr">
        <is>
          <t>Context</t>
        </is>
      </c>
      <c r="W65" s="16" t="inlineStr">
        <is>
          <t>New play-caller: Brian Daboll.</t>
        </is>
      </c>
      <c r="X65" s="17" t="n"/>
      <c r="Y65" s="18">
        <f>IFS(X65="","",X65="Very undervalued",2, X65="Undervalued",1, X65="Evenly valued",0, X65="Overvalued",-1, X65="Very overvalued",-2,TRUE,"")</f>
        <v/>
      </c>
      <c r="Z65" s="17" t="n"/>
      <c r="AA65" s="17" t="n"/>
      <c r="AB65" s="19" t="n"/>
      <c r="AC65" s="19" t="n"/>
    </row>
    <row r="66">
      <c r="A66" s="15" t="n">
        <v>64</v>
      </c>
      <c r="B66" s="15" t="inlineStr">
        <is>
          <t>Dak Prescott</t>
        </is>
      </c>
      <c r="C66" s="15" t="inlineStr">
        <is>
          <t>QB</t>
        </is>
      </c>
      <c r="D66" s="15" t="inlineStr">
        <is>
          <t>DAL</t>
        </is>
      </c>
      <c r="E66" s="15" t="n">
        <v>14</v>
      </c>
      <c r="F66" s="15" t="inlineStr"/>
      <c r="G66" s="15" t="n">
        <v>64.2</v>
      </c>
      <c r="H66" s="15" t="n">
        <v>7</v>
      </c>
      <c r="I66" s="15" t="n">
        <v>294.7</v>
      </c>
      <c r="J66" s="15" t="n">
        <v>241</v>
      </c>
      <c r="K66" s="15" t="n">
        <v>13.7</v>
      </c>
      <c r="L66" s="15" t="n">
        <v>67</v>
      </c>
      <c r="M66" s="15" t="n">
        <v>-3</v>
      </c>
      <c r="N66" s="15" t="n">
        <v>0.03</v>
      </c>
      <c r="O66" s="15" t="n">
        <v>0.03</v>
      </c>
      <c r="P66" s="15" t="n">
        <v>-0.12</v>
      </c>
      <c r="Q66" s="15" t="n">
        <v>0.29</v>
      </c>
      <c r="R66" s="15" t="n">
        <v>-0.12</v>
      </c>
      <c r="S66" s="15" t="n">
        <v>0.18</v>
      </c>
      <c r="T66" s="15" t="n">
        <v>0.24</v>
      </c>
      <c r="U66" s="15" t="n">
        <v>0.21</v>
      </c>
      <c r="V66" s="15" t="inlineStr"/>
      <c r="W66" s="16" t="inlineStr"/>
      <c r="X66" s="17" t="n"/>
      <c r="Y66" s="18">
        <f>IFS(X66="","",X66="Very undervalued",2, X66="Undervalued",1, X66="Evenly valued",0, X66="Overvalued",-1, X66="Very overvalued",-2,TRUE,"")</f>
        <v/>
      </c>
      <c r="Z66" s="17" t="n"/>
      <c r="AA66" s="17" t="n"/>
      <c r="AB66" s="19" t="n"/>
      <c r="AC66" s="19" t="n"/>
    </row>
    <row r="67">
      <c r="A67" s="15" t="n">
        <v>65</v>
      </c>
      <c r="B67" s="15" t="inlineStr">
        <is>
          <t>Alec Pierce</t>
        </is>
      </c>
      <c r="C67" s="15" t="inlineStr">
        <is>
          <t>WR</t>
        </is>
      </c>
      <c r="D67" s="15" t="inlineStr">
        <is>
          <t>IND</t>
        </is>
      </c>
      <c r="E67" s="15" t="n">
        <v>13</v>
      </c>
      <c r="F67" s="15" t="inlineStr"/>
      <c r="G67" s="15" t="n">
        <v>65.09999999999999</v>
      </c>
      <c r="H67" s="15" t="n">
        <v>7</v>
      </c>
      <c r="I67" s="15" t="n">
        <v>207.3</v>
      </c>
      <c r="J67" s="15" t="n">
        <v>142.2</v>
      </c>
      <c r="K67" s="15" t="n">
        <v>12.9</v>
      </c>
      <c r="L67" s="15" t="n">
        <v>86</v>
      </c>
      <c r="M67" s="15" t="n">
        <v>-21</v>
      </c>
      <c r="N67" s="15" t="n">
        <v>0.28</v>
      </c>
      <c r="O67" s="15" t="n">
        <v>0.19</v>
      </c>
      <c r="P67" s="15" t="n">
        <v>0.17</v>
      </c>
      <c r="Q67" s="15" t="n">
        <v>-0.23</v>
      </c>
      <c r="R67" s="15" t="n">
        <v>0.22</v>
      </c>
      <c r="S67" s="15" t="n">
        <v>0.13</v>
      </c>
      <c r="T67" s="15" t="n">
        <v>0.27</v>
      </c>
      <c r="U67" s="15" t="n">
        <v>0.02</v>
      </c>
      <c r="V67" s="15" t="inlineStr">
        <is>
          <t>Room change</t>
        </is>
      </c>
      <c r="W67" s="16" t="inlineStr">
        <is>
          <t>Departures: Michael Pittman Jr..</t>
        </is>
      </c>
      <c r="X67" s="17" t="n"/>
      <c r="Y67" s="18">
        <f>IFS(X67="","",X67="Very undervalued",2, X67="Undervalued",1, X67="Evenly valued",0, X67="Overvalued",-1, X67="Very overvalued",-2,TRUE,"")</f>
        <v/>
      </c>
      <c r="Z67" s="17" t="n"/>
      <c r="AA67" s="17" t="n"/>
      <c r="AB67" s="19" t="n"/>
      <c r="AC67" s="19" t="n"/>
    </row>
    <row r="68">
      <c r="A68" s="15" t="n">
        <v>66</v>
      </c>
      <c r="B68" s="15" t="inlineStr">
        <is>
          <t>Jaylen Warren</t>
        </is>
      </c>
      <c r="C68" s="15" t="inlineStr">
        <is>
          <t>RB</t>
        </is>
      </c>
      <c r="D68" s="15" t="inlineStr">
        <is>
          <t>PIT</t>
        </is>
      </c>
      <c r="E68" s="15" t="n">
        <v>9</v>
      </c>
      <c r="F68" s="15" t="inlineStr"/>
      <c r="G68" s="15" t="n">
        <v>65.40000000000001</v>
      </c>
      <c r="H68" s="15" t="n">
        <v>7</v>
      </c>
      <c r="I68" s="15" t="n">
        <v>192.6</v>
      </c>
      <c r="J68" s="15" t="n">
        <v>110.7</v>
      </c>
      <c r="K68" s="15" t="n">
        <v>12.7</v>
      </c>
      <c r="L68" s="15" t="n">
        <v>94</v>
      </c>
      <c r="M68" s="15" t="n">
        <v>-28</v>
      </c>
      <c r="N68" s="15" t="n">
        <v>0.14</v>
      </c>
      <c r="O68" s="15" t="n">
        <v>0.02</v>
      </c>
      <c r="P68" s="15" t="n">
        <v>0.19</v>
      </c>
      <c r="Q68" s="15" t="n">
        <v>-0.26</v>
      </c>
      <c r="R68" s="15" t="n">
        <v>0.19</v>
      </c>
      <c r="S68" s="15" t="n">
        <v>0.06</v>
      </c>
      <c r="T68" s="15" t="n">
        <v>0</v>
      </c>
      <c r="U68" s="15" t="n">
        <v>-0.03</v>
      </c>
      <c r="V68" s="15" t="inlineStr">
        <is>
          <t>Room change</t>
        </is>
      </c>
      <c r="W68" s="16" t="inlineStr">
        <is>
          <t>New play-caller: Mike McCarthy. Arrivals in the room: Rico Dowdle.</t>
        </is>
      </c>
      <c r="X68" s="17" t="n"/>
      <c r="Y68" s="18">
        <f>IFS(X68="","",X68="Very undervalued",2, X68="Undervalued",1, X68="Evenly valued",0, X68="Overvalued",-1, X68="Very overvalued",-2,TRUE,"")</f>
        <v/>
      </c>
      <c r="Z68" s="17" t="n"/>
      <c r="AA68" s="17" t="n"/>
      <c r="AB68" s="19" t="n"/>
      <c r="AC68" s="19" t="n"/>
    </row>
    <row r="69">
      <c r="A69" s="15" t="n">
        <v>67</v>
      </c>
      <c r="B69" s="15" t="inlineStr">
        <is>
          <t>Christian Watson</t>
        </is>
      </c>
      <c r="C69" s="15" t="inlineStr">
        <is>
          <t>WR</t>
        </is>
      </c>
      <c r="D69" s="15" t="inlineStr">
        <is>
          <t>GB</t>
        </is>
      </c>
      <c r="E69" s="15" t="n">
        <v>11</v>
      </c>
      <c r="F69" s="15" t="inlineStr"/>
      <c r="G69" s="15" t="n">
        <v>65.59999999999999</v>
      </c>
      <c r="H69" s="15" t="n">
        <v>7</v>
      </c>
      <c r="I69" s="15" t="n">
        <v>190.8</v>
      </c>
      <c r="J69" s="15" t="n">
        <v>104</v>
      </c>
      <c r="K69" s="15" t="n">
        <v>10.1</v>
      </c>
      <c r="L69" s="15" t="n">
        <v>111</v>
      </c>
      <c r="M69" s="15" t="n">
        <v>-44</v>
      </c>
      <c r="N69" s="15" t="n">
        <v>0.47</v>
      </c>
      <c r="O69" s="15" t="n">
        <v>0.07000000000000001</v>
      </c>
      <c r="P69" s="15" t="n">
        <v>0.41</v>
      </c>
      <c r="Q69" s="15" t="n">
        <v>-0.22</v>
      </c>
      <c r="R69" s="15" t="n">
        <v>0.41</v>
      </c>
      <c r="S69" s="15" t="n">
        <v>0.3</v>
      </c>
      <c r="T69" s="15" t="n">
        <v>0.2</v>
      </c>
      <c r="U69" s="15" t="n">
        <v>-0.39</v>
      </c>
      <c r="V69" s="15" t="inlineStr">
        <is>
          <t>Room change</t>
        </is>
      </c>
      <c r="W69" s="16" t="inlineStr">
        <is>
          <t>Departures: Dontayvion Wicks, Romeo Doubs.</t>
        </is>
      </c>
      <c r="X69" s="17" t="n"/>
      <c r="Y69" s="18">
        <f>IFS(X69="","",X69="Very undervalued",2, X69="Undervalued",1, X69="Evenly valued",0, X69="Overvalued",-1, X69="Very overvalued",-2,TRUE,"")</f>
        <v/>
      </c>
      <c r="Z69" s="17" t="n"/>
      <c r="AA69" s="17" t="n"/>
      <c r="AB69" s="19" t="n"/>
      <c r="AC69" s="19" t="n"/>
    </row>
    <row r="70">
      <c r="A70" s="15" t="n">
        <v>68</v>
      </c>
      <c r="B70" s="15" t="inlineStr">
        <is>
          <t>Jadarian Price</t>
        </is>
      </c>
      <c r="C70" s="15" t="inlineStr">
        <is>
          <t>RB</t>
        </is>
      </c>
      <c r="D70" s="15" t="inlineStr">
        <is>
          <t>SEA</t>
        </is>
      </c>
      <c r="E70" s="15" t="n">
        <v>11</v>
      </c>
      <c r="F70" s="15" t="inlineStr">
        <is>
          <t>Yes</t>
        </is>
      </c>
      <c r="G70" s="15" t="n">
        <v>65.8</v>
      </c>
      <c r="H70" s="15" t="n">
        <v>7</v>
      </c>
      <c r="I70" s="15" t="n">
        <v>187.4</v>
      </c>
      <c r="J70" s="15" t="n">
        <v>130.9</v>
      </c>
      <c r="K70" s="15" t="n">
        <v>11.4</v>
      </c>
      <c r="L70" s="15" t="n">
        <v>102</v>
      </c>
      <c r="M70" s="15" t="n">
        <v>-34</v>
      </c>
      <c r="N70" s="15" t="n"/>
      <c r="O70" s="15" t="n"/>
      <c r="P70" s="15" t="n">
        <v>-0.16</v>
      </c>
      <c r="Q70" s="15" t="n">
        <v>0.16</v>
      </c>
      <c r="R70" s="15" t="n">
        <v>-0.16</v>
      </c>
      <c r="S70" s="15" t="n"/>
      <c r="T70" s="15" t="n"/>
      <c r="U70" s="15" t="n">
        <v>-0.31</v>
      </c>
      <c r="V70" s="15" t="inlineStr">
        <is>
          <t>Rookie/new to league</t>
        </is>
      </c>
      <c r="W70" s="16" t="inlineStr">
        <is>
          <t>New play-caller: Brian Fleury. Departures: Kenneth Walker III.</t>
        </is>
      </c>
      <c r="X70" s="17" t="n"/>
      <c r="Y70" s="18">
        <f>IFS(X70="","",X70="Very undervalued",2, X70="Undervalued",1, X70="Evenly valued",0, X70="Overvalued",-1, X70="Very overvalued",-2,TRUE,"")</f>
        <v/>
      </c>
      <c r="Z70" s="17" t="n"/>
      <c r="AA70" s="17" t="n"/>
      <c r="AB70" s="19" t="n"/>
      <c r="AC70" s="19" t="n"/>
    </row>
    <row r="71">
      <c r="A71" s="15" t="n">
        <v>69</v>
      </c>
      <c r="B71" s="15" t="inlineStr">
        <is>
          <t>Courtland Sutton</t>
        </is>
      </c>
      <c r="C71" s="15" t="inlineStr">
        <is>
          <t>WR</t>
        </is>
      </c>
      <c r="D71" s="15" t="inlineStr">
        <is>
          <t>DEN</t>
        </is>
      </c>
      <c r="E71" s="15" t="n">
        <v>10</v>
      </c>
      <c r="F71" s="15" t="inlineStr"/>
      <c r="G71" s="15" t="n">
        <v>66.09999999999999</v>
      </c>
      <c r="H71" s="15" t="n">
        <v>7</v>
      </c>
      <c r="I71" s="15" t="n">
        <v>204.3</v>
      </c>
      <c r="J71" s="15" t="n">
        <v>144.4</v>
      </c>
      <c r="K71" s="15" t="n">
        <v>13.4</v>
      </c>
      <c r="L71" s="15" t="n">
        <v>91</v>
      </c>
      <c r="M71" s="15" t="n">
        <v>-22</v>
      </c>
      <c r="N71" s="15" t="n">
        <v>0.18</v>
      </c>
      <c r="O71" s="15" t="n">
        <v>0.04</v>
      </c>
      <c r="P71" s="15" t="n">
        <v>-0.12</v>
      </c>
      <c r="Q71" s="15" t="n">
        <v>-0.21</v>
      </c>
      <c r="R71" s="15" t="n">
        <v>0</v>
      </c>
      <c r="S71" s="15" t="n">
        <v>0.18</v>
      </c>
      <c r="T71" s="15" t="n">
        <v>0.24</v>
      </c>
      <c r="U71" s="15" t="n">
        <v>0.2</v>
      </c>
      <c r="V71" s="15" t="inlineStr">
        <is>
          <t>Room change</t>
        </is>
      </c>
      <c r="W71" s="16" t="inlineStr">
        <is>
          <t>New play-caller: Davis Webb. Arrivals in the room: Jaylen Waddle.</t>
        </is>
      </c>
      <c r="X71" s="17" t="n"/>
      <c r="Y71" s="18">
        <f>IFS(X71="","",X71="Very undervalued",2, X71="Undervalued",1, X71="Evenly valued",0, X71="Overvalued",-1, X71="Very overvalued",-2,TRUE,"")</f>
        <v/>
      </c>
      <c r="Z71" s="17" t="n"/>
      <c r="AA71" s="17" t="n"/>
      <c r="AB71" s="19" t="n"/>
      <c r="AC71" s="19" t="n"/>
    </row>
    <row r="72">
      <c r="A72" s="15" t="n">
        <v>70</v>
      </c>
      <c r="B72" s="15" t="inlineStr">
        <is>
          <t>Marvin Harrison Jr.</t>
        </is>
      </c>
      <c r="C72" s="15" t="inlineStr">
        <is>
          <t>WR</t>
        </is>
      </c>
      <c r="D72" s="15" t="inlineStr">
        <is>
          <t>ARI</t>
        </is>
      </c>
      <c r="E72" s="15" t="n">
        <v>14</v>
      </c>
      <c r="F72" s="15" t="inlineStr"/>
      <c r="G72" s="15" t="n">
        <v>66.7</v>
      </c>
      <c r="H72" s="15" t="n">
        <v>7</v>
      </c>
      <c r="I72" s="15" t="n">
        <v>197.1</v>
      </c>
      <c r="J72" s="15" t="n">
        <v>121.8</v>
      </c>
      <c r="K72" s="15" t="n">
        <v>11.6</v>
      </c>
      <c r="L72" s="15" t="n">
        <v>97</v>
      </c>
      <c r="M72" s="15" t="n">
        <v>-27</v>
      </c>
      <c r="N72" s="15" t="n">
        <v>0.15</v>
      </c>
      <c r="O72" s="15" t="n">
        <v>0.2</v>
      </c>
      <c r="P72" s="15" t="n">
        <v>0.34</v>
      </c>
      <c r="Q72" s="15" t="n">
        <v>-0.2</v>
      </c>
      <c r="R72" s="15" t="n">
        <v>0.34</v>
      </c>
      <c r="S72" s="15" t="n">
        <v>0.08</v>
      </c>
      <c r="T72" s="15" t="n">
        <v>0.33</v>
      </c>
      <c r="U72" s="15" t="n">
        <v>-0.2</v>
      </c>
      <c r="V72" s="15" t="inlineStr">
        <is>
          <t>Context</t>
        </is>
      </c>
      <c r="W72" s="16" t="inlineStr">
        <is>
          <t>New play-caller: Mike LaFleur.</t>
        </is>
      </c>
      <c r="X72" s="17" t="n"/>
      <c r="Y72" s="18">
        <f>IFS(X72="","",X72="Very undervalued",2, X72="Undervalued",1, X72="Evenly valued",0, X72="Overvalued",-1, X72="Very overvalued",-2,TRUE,"")</f>
        <v/>
      </c>
      <c r="Z72" s="17" t="n"/>
      <c r="AA72" s="17" t="n"/>
      <c r="AB72" s="19" t="n"/>
      <c r="AC72" s="19" t="n"/>
    </row>
    <row r="73">
      <c r="A73" s="15" t="n">
        <v>71</v>
      </c>
      <c r="B73" s="15" t="inlineStr">
        <is>
          <t>Michael Pittman Jr.</t>
        </is>
      </c>
      <c r="C73" s="15" t="inlineStr">
        <is>
          <t>WR</t>
        </is>
      </c>
      <c r="D73" s="15" t="inlineStr">
        <is>
          <t>PIT</t>
        </is>
      </c>
      <c r="E73" s="15" t="n">
        <v>9</v>
      </c>
      <c r="F73" s="15" t="inlineStr"/>
      <c r="G73" s="15" t="n">
        <v>71</v>
      </c>
      <c r="H73" s="15" t="n">
        <v>8</v>
      </c>
      <c r="I73" s="15" t="n">
        <v>191.7</v>
      </c>
      <c r="J73" s="15" t="n">
        <v>144.2</v>
      </c>
      <c r="K73" s="15" t="n">
        <v>13.6</v>
      </c>
      <c r="L73" s="15" t="n">
        <v>110</v>
      </c>
      <c r="M73" s="15" t="n">
        <v>-39</v>
      </c>
      <c r="N73" s="15" t="n">
        <v>0.2</v>
      </c>
      <c r="O73" s="15" t="n">
        <v>0.05</v>
      </c>
      <c r="P73" s="15" t="n">
        <v>-0.2</v>
      </c>
      <c r="Q73" s="15" t="n">
        <v>-0.18</v>
      </c>
      <c r="R73" s="15" t="n">
        <v>-0.07000000000000001</v>
      </c>
      <c r="S73" s="15" t="n">
        <v>0.24</v>
      </c>
      <c r="T73" s="15" t="n">
        <v>0.35</v>
      </c>
      <c r="U73" s="15" t="n">
        <v>0.32</v>
      </c>
      <c r="V73" s="15" t="inlineStr">
        <is>
          <t>New team</t>
        </is>
      </c>
      <c r="W73" s="16" t="inlineStr">
        <is>
          <t>Moved from IND to PIT. New play-caller: Mike McCarthy. Arrivals in the room: Germie Bernard. PIT sent a 6th and got a 7th back; leaves a WR hole in IND [CBS trade tracker]</t>
        </is>
      </c>
      <c r="X73" s="17" t="n"/>
      <c r="Y73" s="18">
        <f>IFS(X73="","",X73="Very undervalued",2, X73="Undervalued",1, X73="Evenly valued",0, X73="Overvalued",-1, X73="Very overvalued",-2,TRUE,"")</f>
        <v/>
      </c>
      <c r="Z73" s="17" t="n"/>
      <c r="AA73" s="17" t="n"/>
      <c r="AB73" s="19" t="n"/>
      <c r="AC73" s="19" t="n"/>
    </row>
    <row r="74">
      <c r="A74" s="15" t="n">
        <v>72</v>
      </c>
      <c r="B74" s="15" t="inlineStr">
        <is>
          <t>Rhamondre Stevenson</t>
        </is>
      </c>
      <c r="C74" s="15" t="inlineStr">
        <is>
          <t>RB</t>
        </is>
      </c>
      <c r="D74" s="15" t="inlineStr">
        <is>
          <t>NE</t>
        </is>
      </c>
      <c r="E74" s="15" t="n">
        <v>11</v>
      </c>
      <c r="F74" s="15" t="inlineStr"/>
      <c r="G74" s="15" t="n">
        <v>71.59999999999999</v>
      </c>
      <c r="H74" s="15" t="n">
        <v>8</v>
      </c>
      <c r="I74" s="15" t="n">
        <v>185.5</v>
      </c>
      <c r="J74" s="15" t="n">
        <v>96.90000000000001</v>
      </c>
      <c r="K74" s="15" t="n">
        <v>11.6</v>
      </c>
      <c r="L74" s="15" t="n">
        <v>106</v>
      </c>
      <c r="M74" s="15" t="n">
        <v>-34</v>
      </c>
      <c r="N74" s="15" t="n">
        <v>0.33</v>
      </c>
      <c r="O74" s="15" t="n">
        <v>-0.1</v>
      </c>
      <c r="P74" s="15" t="n">
        <v>0.39</v>
      </c>
      <c r="Q74" s="15" t="n">
        <v>-0.26</v>
      </c>
      <c r="R74" s="15" t="n">
        <v>0.39</v>
      </c>
      <c r="S74" s="15" t="n">
        <v>0.21</v>
      </c>
      <c r="T74" s="15" t="n">
        <v>0.43</v>
      </c>
      <c r="U74" s="15" t="n">
        <v>-0.16</v>
      </c>
      <c r="V74" s="15" t="inlineStr"/>
      <c r="W74" s="16" t="inlineStr"/>
      <c r="X74" s="17" t="n"/>
      <c r="Y74" s="18">
        <f>IFS(X74="","",X74="Very undervalued",2, X74="Undervalued",1, X74="Evenly valued",0, X74="Overvalued",-1, X74="Very overvalued",-2,TRUE,"")</f>
        <v/>
      </c>
      <c r="Z74" s="17" t="n"/>
      <c r="AA74" s="17" t="n"/>
      <c r="AB74" s="19" t="n"/>
      <c r="AC74" s="19" t="n"/>
    </row>
    <row r="75">
      <c r="A75" s="15" t="n">
        <v>73</v>
      </c>
      <c r="B75" s="15" t="inlineStr">
        <is>
          <t>Carnell Tate</t>
        </is>
      </c>
      <c r="C75" s="15" t="inlineStr">
        <is>
          <t>WR</t>
        </is>
      </c>
      <c r="D75" s="15" t="inlineStr">
        <is>
          <t>TEN</t>
        </is>
      </c>
      <c r="E75" s="15" t="n">
        <v>9</v>
      </c>
      <c r="F75" s="15" t="inlineStr">
        <is>
          <t>Yes</t>
        </is>
      </c>
      <c r="G75" s="15" t="n">
        <v>72.59999999999999</v>
      </c>
      <c r="H75" s="15" t="n">
        <v>8</v>
      </c>
      <c r="I75" s="15" t="n">
        <v>181.1</v>
      </c>
      <c r="J75" s="15" t="n">
        <v>124.1</v>
      </c>
      <c r="K75" s="15" t="n">
        <v>11.1</v>
      </c>
      <c r="L75" s="15" t="n">
        <v>120</v>
      </c>
      <c r="M75" s="15" t="n">
        <v>-47</v>
      </c>
      <c r="N75" s="15" t="n"/>
      <c r="O75" s="15" t="n"/>
      <c r="P75" s="15" t="n">
        <v>-0.07000000000000001</v>
      </c>
      <c r="Q75" s="15" t="n">
        <v>0.22</v>
      </c>
      <c r="R75" s="15" t="n">
        <v>-0.24</v>
      </c>
      <c r="S75" s="15" t="n"/>
      <c r="T75" s="15" t="n"/>
      <c r="U75" s="15" t="n">
        <v>-0.3</v>
      </c>
      <c r="V75" s="15" t="inlineStr">
        <is>
          <t>Rookie/new to league</t>
        </is>
      </c>
      <c r="W75" s="16" t="inlineStr">
        <is>
          <t>New play-caller: Brian Daboll. Arrivals in the room: Wan'Dale Robinson.</t>
        </is>
      </c>
      <c r="X75" s="17" t="n"/>
      <c r="Y75" s="18">
        <f>IFS(X75="","",X75="Very undervalued",2, X75="Undervalued",1, X75="Evenly valued",0, X75="Overvalued",-1, X75="Very overvalued",-2,TRUE,"")</f>
        <v/>
      </c>
      <c r="Z75" s="17" t="n"/>
      <c r="AA75" s="17" t="n"/>
      <c r="AB75" s="19" t="n"/>
      <c r="AC75" s="19" t="n"/>
    </row>
    <row r="76">
      <c r="A76" s="15" t="n">
        <v>74</v>
      </c>
      <c r="B76" s="15" t="inlineStr">
        <is>
          <t>Jayden Daniels</t>
        </is>
      </c>
      <c r="C76" s="15" t="inlineStr">
        <is>
          <t>QB</t>
        </is>
      </c>
      <c r="D76" s="15" t="inlineStr">
        <is>
          <t>WAS</t>
        </is>
      </c>
      <c r="E76" s="15" t="n">
        <v>7</v>
      </c>
      <c r="F76" s="15" t="inlineStr"/>
      <c r="G76" s="15" t="n">
        <v>72.90000000000001</v>
      </c>
      <c r="H76" s="15" t="n">
        <v>8</v>
      </c>
      <c r="I76" s="15" t="n">
        <v>313.4</v>
      </c>
      <c r="J76" s="15" t="n">
        <v>137.1</v>
      </c>
      <c r="K76" s="15" t="n">
        <v>7.7</v>
      </c>
      <c r="L76" s="15" t="n">
        <v>46</v>
      </c>
      <c r="M76" s="15" t="n">
        <v>28</v>
      </c>
      <c r="N76" s="15" t="n">
        <v>0.17</v>
      </c>
      <c r="O76" s="15" t="n">
        <v>0.57</v>
      </c>
      <c r="P76" s="15" t="n">
        <v>0.46</v>
      </c>
      <c r="Q76" s="15" t="n">
        <v>-0.46</v>
      </c>
      <c r="R76" s="15" t="n">
        <v>0.46</v>
      </c>
      <c r="S76" s="15" t="n">
        <v>0</v>
      </c>
      <c r="T76" s="15" t="n">
        <v>0.14</v>
      </c>
      <c r="U76" s="15" t="n">
        <v>-0.46</v>
      </c>
      <c r="V76" s="15" t="inlineStr">
        <is>
          <t>Room change</t>
        </is>
      </c>
      <c r="W76" s="16" t="inlineStr">
        <is>
          <t>New play-caller: David Blough. New starting QB: Jayden Daniels. Departures: Marcus Mariota.</t>
        </is>
      </c>
      <c r="X76" s="17" t="n"/>
      <c r="Y76" s="18">
        <f>IFS(X76="","",X76="Very undervalued",2, X76="Undervalued",1, X76="Evenly valued",0, X76="Overvalued",-1, X76="Very overvalued",-2,TRUE,"")</f>
        <v/>
      </c>
      <c r="Z76" s="17" t="n"/>
      <c r="AA76" s="17" t="n"/>
      <c r="AB76" s="19" t="n"/>
      <c r="AC76" s="19" t="n"/>
    </row>
    <row r="77">
      <c r="A77" s="15" t="n">
        <v>75</v>
      </c>
      <c r="B77" s="15" t="inlineStr">
        <is>
          <t>Harold Fannin Jr.</t>
        </is>
      </c>
      <c r="C77" s="15" t="inlineStr">
        <is>
          <t>TE</t>
        </is>
      </c>
      <c r="D77" s="15" t="inlineStr">
        <is>
          <t>CLE</t>
        </is>
      </c>
      <c r="E77" s="15" t="n">
        <v>11</v>
      </c>
      <c r="F77" s="15" t="inlineStr">
        <is>
          <t>Yes</t>
        </is>
      </c>
      <c r="G77" s="15" t="n">
        <v>74.3</v>
      </c>
      <c r="H77" s="15" t="n">
        <v>8</v>
      </c>
      <c r="I77" s="15" t="n">
        <v>191.1</v>
      </c>
      <c r="J77" s="15" t="n">
        <v>157.4</v>
      </c>
      <c r="K77" s="15" t="n">
        <v>13.6</v>
      </c>
      <c r="L77" s="15" t="n">
        <v>45</v>
      </c>
      <c r="M77" s="15" t="n">
        <v>30</v>
      </c>
      <c r="N77" s="15" t="n">
        <v>0.28</v>
      </c>
      <c r="O77" s="15" t="n">
        <v>0.34</v>
      </c>
      <c r="P77" s="15" t="n">
        <v>-0.27</v>
      </c>
      <c r="Q77" s="15" t="n">
        <v>0.27</v>
      </c>
      <c r="R77" s="15" t="n">
        <v>-0.27</v>
      </c>
      <c r="S77" s="15" t="n">
        <v>0.25</v>
      </c>
      <c r="T77" s="15" t="n">
        <v>0</v>
      </c>
      <c r="U77" s="15" t="n">
        <v>0.18</v>
      </c>
      <c r="V77" s="15" t="inlineStr">
        <is>
          <t>Context</t>
        </is>
      </c>
      <c r="W77" s="16" t="inlineStr">
        <is>
          <t>New play-caller: Todd Monken. New starting QB: unsettled QB competition.</t>
        </is>
      </c>
      <c r="X77" s="17" t="n"/>
      <c r="Y77" s="18">
        <f>IFS(X77="","",X77="Very undervalued",2, X77="Undervalued",1, X77="Evenly valued",0, X77="Overvalued",-1, X77="Very overvalued",-2,TRUE,"")</f>
        <v/>
      </c>
      <c r="Z77" s="17" t="n"/>
      <c r="AA77" s="17" t="n"/>
      <c r="AB77" s="19" t="n"/>
      <c r="AC77" s="19" t="n"/>
    </row>
    <row r="78">
      <c r="A78" s="15" t="n">
        <v>76</v>
      </c>
      <c r="B78" s="15" t="inlineStr">
        <is>
          <t>Rico Dowdle</t>
        </is>
      </c>
      <c r="C78" s="15" t="inlineStr">
        <is>
          <t>RB</t>
        </is>
      </c>
      <c r="D78" s="15" t="inlineStr">
        <is>
          <t>PIT</t>
        </is>
      </c>
      <c r="E78" s="15" t="n">
        <v>9</v>
      </c>
      <c r="F78" s="15" t="inlineStr"/>
      <c r="G78" s="15" t="n">
        <v>75.40000000000001</v>
      </c>
      <c r="H78" s="15" t="n">
        <v>8</v>
      </c>
      <c r="I78" s="15" t="n">
        <v>184.5</v>
      </c>
      <c r="J78" s="15" t="n">
        <v>111.6</v>
      </c>
      <c r="K78" s="15" t="n">
        <v>13.1</v>
      </c>
      <c r="L78" s="15" t="n">
        <v>108</v>
      </c>
      <c r="M78" s="15" t="n">
        <v>-32</v>
      </c>
      <c r="N78" s="15" t="n">
        <v>0.11</v>
      </c>
      <c r="O78" s="15" t="n">
        <v>-0.08</v>
      </c>
      <c r="P78" s="15" t="n">
        <v>0.19</v>
      </c>
      <c r="Q78" s="15" t="n">
        <v>-0.24</v>
      </c>
      <c r="R78" s="15" t="n">
        <v>0.19</v>
      </c>
      <c r="S78" s="15" t="n">
        <v>0.18</v>
      </c>
      <c r="T78" s="15" t="n">
        <v>0.29</v>
      </c>
      <c r="U78" s="15" t="n">
        <v>0.23</v>
      </c>
      <c r="V78" s="15" t="inlineStr">
        <is>
          <t>New team</t>
        </is>
      </c>
      <c r="W78" s="16" t="inlineStr">
        <is>
          <t>Moved from CAR to PIT. New play-caller: Mike McCarthy.</t>
        </is>
      </c>
      <c r="X78" s="17" t="n"/>
      <c r="Y78" s="18">
        <f>IFS(X78="","",X78="Very undervalued",2, X78="Undervalued",1, X78="Evenly valued",0, X78="Overvalued",-1, X78="Very overvalued",-2,TRUE,"")</f>
        <v/>
      </c>
      <c r="Z78" s="17" t="n"/>
      <c r="AA78" s="17" t="n"/>
      <c r="AB78" s="19" t="n"/>
      <c r="AC78" s="19" t="n"/>
    </row>
    <row r="79">
      <c r="A79" s="15" t="n">
        <v>77</v>
      </c>
      <c r="B79" s="15" t="inlineStr">
        <is>
          <t>Jalen Hurts</t>
        </is>
      </c>
      <c r="C79" s="15" t="inlineStr">
        <is>
          <t>QB</t>
        </is>
      </c>
      <c r="D79" s="15" t="inlineStr">
        <is>
          <t>PHI</t>
        </is>
      </c>
      <c r="E79" s="15" t="n">
        <v>10</v>
      </c>
      <c r="F79" s="15" t="inlineStr"/>
      <c r="G79" s="15" t="n">
        <v>76.40000000000001</v>
      </c>
      <c r="H79" s="15" t="n">
        <v>8</v>
      </c>
      <c r="I79" s="15" t="n">
        <v>315.2</v>
      </c>
      <c r="J79" s="15" t="n">
        <v>249.6</v>
      </c>
      <c r="K79" s="15" t="n">
        <v>13.7</v>
      </c>
      <c r="L79" s="15" t="n">
        <v>43</v>
      </c>
      <c r="M79" s="15" t="n">
        <v>34</v>
      </c>
      <c r="N79" s="15" t="n">
        <v>0.3</v>
      </c>
      <c r="O79" s="15" t="n">
        <v>0.04</v>
      </c>
      <c r="P79" s="15" t="n">
        <v>-0.25</v>
      </c>
      <c r="Q79" s="15" t="n">
        <v>0.25</v>
      </c>
      <c r="R79" s="15" t="n">
        <v>-0.32</v>
      </c>
      <c r="S79" s="15" t="n">
        <v>0.19</v>
      </c>
      <c r="T79" s="15" t="n">
        <v>0.19</v>
      </c>
      <c r="U79" s="15" t="n">
        <v>0.11</v>
      </c>
      <c r="V79" s="15" t="inlineStr">
        <is>
          <t>Context</t>
        </is>
      </c>
      <c r="W79" s="16" t="inlineStr">
        <is>
          <t>New play-caller: Sean Mannion.</t>
        </is>
      </c>
      <c r="X79" s="17" t="n"/>
      <c r="Y79" s="18">
        <f>IFS(X79="","",X79="Very undervalued",2, X79="Undervalued",1, X79="Evenly valued",0, X79="Overvalued",-1, X79="Very overvalued",-2,TRUE,"")</f>
        <v/>
      </c>
      <c r="Z79" s="17" t="n"/>
      <c r="AA79" s="17" t="n"/>
      <c r="AB79" s="19" t="n"/>
      <c r="AC79" s="19" t="n"/>
    </row>
    <row r="80">
      <c r="A80" s="15" t="n">
        <v>78</v>
      </c>
      <c r="B80" s="15" t="inlineStr">
        <is>
          <t>Parker Washington</t>
        </is>
      </c>
      <c r="C80" s="15" t="inlineStr">
        <is>
          <t>WR</t>
        </is>
      </c>
      <c r="D80" s="15" t="inlineStr">
        <is>
          <t>JAX</t>
        </is>
      </c>
      <c r="E80" s="15" t="n">
        <v>7</v>
      </c>
      <c r="F80" s="15" t="inlineStr"/>
      <c r="G80" s="15" t="n">
        <v>76.5</v>
      </c>
      <c r="H80" s="15" t="n">
        <v>8</v>
      </c>
      <c r="I80" s="15" t="n">
        <v>178.9</v>
      </c>
      <c r="J80" s="15" t="n">
        <v>132</v>
      </c>
      <c r="K80" s="15" t="n">
        <v>13.5</v>
      </c>
      <c r="L80" s="15" t="n">
        <v>122</v>
      </c>
      <c r="M80" s="15" t="n">
        <v>-44</v>
      </c>
      <c r="N80" s="15" t="n">
        <v>0.1</v>
      </c>
      <c r="O80" s="15" t="n">
        <v>-0.04</v>
      </c>
      <c r="P80" s="15" t="n">
        <v>-0.02</v>
      </c>
      <c r="Q80" s="15" t="n">
        <v>-0.17</v>
      </c>
      <c r="R80" s="15" t="n">
        <v>0.07000000000000001</v>
      </c>
      <c r="S80" s="15" t="n">
        <v>0.06</v>
      </c>
      <c r="T80" s="15" t="n">
        <v>0.31</v>
      </c>
      <c r="U80" s="15" t="n">
        <v>0.32</v>
      </c>
      <c r="V80" s="15" t="inlineStr"/>
      <c r="W80" s="16" t="inlineStr"/>
      <c r="X80" s="17" t="n"/>
      <c r="Y80" s="18">
        <f>IFS(X80="","",X80="Very undervalued",2, X80="Undervalued",1, X80="Evenly valued",0, X80="Overvalued",-1, X80="Very overvalued",-2,TRUE,"")</f>
        <v/>
      </c>
      <c r="Z80" s="17" t="n"/>
      <c r="AA80" s="17" t="n"/>
      <c r="AB80" s="19" t="n"/>
      <c r="AC80" s="19" t="n"/>
    </row>
    <row r="81">
      <c r="A81" s="15" t="n">
        <v>79</v>
      </c>
      <c r="B81" s="15" t="inlineStr">
        <is>
          <t>Brock Purdy</t>
        </is>
      </c>
      <c r="C81" s="15" t="inlineStr">
        <is>
          <t>QB</t>
        </is>
      </c>
      <c r="D81" s="15" t="inlineStr">
        <is>
          <t>SF</t>
        </is>
      </c>
      <c r="E81" s="15" t="n">
        <v>8</v>
      </c>
      <c r="F81" s="15" t="inlineStr"/>
      <c r="G81" s="15" t="n">
        <v>78.5</v>
      </c>
      <c r="H81" s="15" t="n">
        <v>8</v>
      </c>
      <c r="I81" s="15" t="n">
        <v>292.2</v>
      </c>
      <c r="J81" s="15" t="n">
        <v>179.3</v>
      </c>
      <c r="K81" s="15" t="n">
        <v>10.3</v>
      </c>
      <c r="L81" s="15" t="n">
        <v>69</v>
      </c>
      <c r="M81" s="15" t="n">
        <v>10</v>
      </c>
      <c r="N81" s="15" t="n">
        <v>0.24</v>
      </c>
      <c r="O81" s="15" t="n">
        <v>0.4</v>
      </c>
      <c r="P81" s="15" t="n">
        <v>0.33</v>
      </c>
      <c r="Q81" s="15" t="n">
        <v>-0.2</v>
      </c>
      <c r="R81" s="15" t="n">
        <v>0.33</v>
      </c>
      <c r="S81" s="15" t="n">
        <v>0.33</v>
      </c>
      <c r="T81" s="15" t="n">
        <v>0.22</v>
      </c>
      <c r="U81" s="15" t="n">
        <v>-0.33</v>
      </c>
      <c r="V81" s="15" t="inlineStr"/>
      <c r="W81" s="16" t="inlineStr"/>
      <c r="X81" s="17" t="n"/>
      <c r="Y81" s="18">
        <f>IFS(X81="","",X81="Very undervalued",2, X81="Undervalued",1, X81="Evenly valued",0, X81="Overvalued",-1, X81="Very overvalued",-2,TRUE,"")</f>
        <v/>
      </c>
      <c r="Z81" s="17" t="n"/>
      <c r="AA81" s="17" t="n"/>
      <c r="AB81" s="19" t="n"/>
      <c r="AC81" s="19" t="n"/>
    </row>
    <row r="82">
      <c r="A82" s="15" t="n">
        <v>80</v>
      </c>
      <c r="B82" s="15" t="inlineStr">
        <is>
          <t>Chuba Hubbard</t>
        </is>
      </c>
      <c r="C82" s="15" t="inlineStr">
        <is>
          <t>RB</t>
        </is>
      </c>
      <c r="D82" s="15" t="inlineStr">
        <is>
          <t>CAR</t>
        </is>
      </c>
      <c r="E82" s="15" t="n">
        <v>5</v>
      </c>
      <c r="F82" s="15" t="inlineStr"/>
      <c r="G82" s="15" t="n">
        <v>79.2</v>
      </c>
      <c r="H82" s="15" t="n">
        <v>8</v>
      </c>
      <c r="I82" s="15" t="n">
        <v>186.6</v>
      </c>
      <c r="J82" s="15" t="n">
        <v>106.4</v>
      </c>
      <c r="K82" s="15" t="n">
        <v>12.3</v>
      </c>
      <c r="L82" s="15" t="n">
        <v>103</v>
      </c>
      <c r="M82" s="15" t="n">
        <v>-23</v>
      </c>
      <c r="N82" s="15" t="n">
        <v>0.03</v>
      </c>
      <c r="O82" s="15" t="n">
        <v>0.15</v>
      </c>
      <c r="P82" s="15" t="n">
        <v>0.23</v>
      </c>
      <c r="Q82" s="15" t="n">
        <v>-0.23</v>
      </c>
      <c r="R82" s="15" t="n">
        <v>0.23</v>
      </c>
      <c r="S82" s="15" t="n">
        <v>0.07000000000000001</v>
      </c>
      <c r="T82" s="15" t="n">
        <v>0.47</v>
      </c>
      <c r="U82" s="15" t="n">
        <v>-0.1</v>
      </c>
      <c r="V82" s="15" t="inlineStr">
        <is>
          <t>Room change</t>
        </is>
      </c>
      <c r="W82" s="16" t="inlineStr">
        <is>
          <t>Arrivals in the room: Jonathon Brooks. Departures: Rico Dowdle.</t>
        </is>
      </c>
      <c r="X82" s="17" t="n"/>
      <c r="Y82" s="18">
        <f>IFS(X82="","",X82="Very undervalued",2, X82="Undervalued",1, X82="Evenly valued",0, X82="Overvalued",-1, X82="Very overvalued",-2,TRUE,"")</f>
        <v/>
      </c>
      <c r="Z82" s="17" t="n"/>
      <c r="AA82" s="17" t="n"/>
      <c r="AB82" s="19" t="n"/>
      <c r="AC82" s="19" t="n"/>
    </row>
    <row r="83">
      <c r="A83" s="15" t="n">
        <v>81</v>
      </c>
      <c r="B83" s="15" t="inlineStr">
        <is>
          <t>Wan'Dale Robinson</t>
        </is>
      </c>
      <c r="C83" s="15" t="inlineStr">
        <is>
          <t>WR</t>
        </is>
      </c>
      <c r="D83" s="15" t="inlineStr">
        <is>
          <t>TEN</t>
        </is>
      </c>
      <c r="E83" s="15" t="n">
        <v>9</v>
      </c>
      <c r="F83" s="15" t="inlineStr"/>
      <c r="G83" s="15" t="n">
        <v>80.59999999999999</v>
      </c>
      <c r="H83" s="15" t="n">
        <v>9</v>
      </c>
      <c r="I83" s="15" t="n">
        <v>188.9</v>
      </c>
      <c r="J83" s="15" t="n">
        <v>139</v>
      </c>
      <c r="K83" s="15" t="n">
        <v>13.4</v>
      </c>
      <c r="L83" s="15" t="n">
        <v>112</v>
      </c>
      <c r="M83" s="15" t="n">
        <v>-31</v>
      </c>
      <c r="N83" s="15" t="n">
        <v>0.07000000000000001</v>
      </c>
      <c r="O83" s="15" t="n">
        <v>-0.09</v>
      </c>
      <c r="P83" s="15" t="n">
        <v>-0.07000000000000001</v>
      </c>
      <c r="Q83" s="15" t="n">
        <v>-0.16</v>
      </c>
      <c r="R83" s="15" t="n">
        <v>0.02</v>
      </c>
      <c r="S83" s="15" t="n">
        <v>0.25</v>
      </c>
      <c r="T83" s="15" t="n">
        <v>0.19</v>
      </c>
      <c r="U83" s="15" t="n">
        <v>0.24</v>
      </c>
      <c r="V83" s="15" t="inlineStr">
        <is>
          <t>New team</t>
        </is>
      </c>
      <c r="W83" s="16" t="inlineStr">
        <is>
          <t>Moved from NYG to TEN. New play-caller: Brian Daboll. Arrivals in the room: Carnell Tate. 4yr/$78M; TEN slot/target hog [NBC/CBS]</t>
        </is>
      </c>
      <c r="X83" s="17" t="n"/>
      <c r="Y83" s="18">
        <f>IFS(X83="","",X83="Very undervalued",2, X83="Undervalued",1, X83="Evenly valued",0, X83="Overvalued",-1, X83="Very overvalued",-2,TRUE,"")</f>
        <v/>
      </c>
      <c r="Z83" s="17" t="n"/>
      <c r="AA83" s="17" t="n"/>
      <c r="AB83" s="19" t="n"/>
      <c r="AC83" s="19" t="n"/>
    </row>
    <row r="84">
      <c r="A84" s="15" t="n">
        <v>82</v>
      </c>
      <c r="B84" s="15" t="inlineStr">
        <is>
          <t>Kyle Pitts Sr.</t>
        </is>
      </c>
      <c r="C84" s="15" t="inlineStr">
        <is>
          <t>TE</t>
        </is>
      </c>
      <c r="D84" s="15" t="inlineStr">
        <is>
          <t>ATL</t>
        </is>
      </c>
      <c r="E84" s="15" t="n">
        <v>11</v>
      </c>
      <c r="F84" s="15" t="inlineStr"/>
      <c r="G84" s="15" t="n">
        <v>81.8</v>
      </c>
      <c r="H84" s="15" t="n">
        <v>9</v>
      </c>
      <c r="I84" s="15" t="n">
        <v>195.7</v>
      </c>
      <c r="J84" s="15" t="n">
        <v>161.4</v>
      </c>
      <c r="K84" s="15" t="n">
        <v>13.7</v>
      </c>
      <c r="L84" s="15" t="n">
        <v>38</v>
      </c>
      <c r="M84" s="15" t="n">
        <v>44</v>
      </c>
      <c r="N84" s="15" t="n">
        <v>0.14</v>
      </c>
      <c r="O84" s="15" t="n">
        <v>0.06</v>
      </c>
      <c r="P84" s="15" t="n">
        <v>-0.12</v>
      </c>
      <c r="Q84" s="15" t="n">
        <v>0.21</v>
      </c>
      <c r="R84" s="15" t="n">
        <v>-0.12</v>
      </c>
      <c r="S84" s="15" t="n">
        <v>0.29</v>
      </c>
      <c r="T84" s="15" t="n">
        <v>0.12</v>
      </c>
      <c r="U84" s="15" t="n">
        <v>0.38</v>
      </c>
      <c r="V84" s="15" t="inlineStr">
        <is>
          <t>Context</t>
        </is>
      </c>
      <c r="W84" s="16" t="inlineStr">
        <is>
          <t>New play-caller: Kevin Stefanski. New starting QB: unsettled QB competition.</t>
        </is>
      </c>
      <c r="X84" s="17" t="n"/>
      <c r="Y84" s="18">
        <f>IFS(X84="","",X84="Very undervalued",2, X84="Undervalued",1, X84="Evenly valued",0, X84="Overvalued",-1, X84="Very overvalued",-2,TRUE,"")</f>
        <v/>
      </c>
      <c r="Z84" s="17" t="n"/>
      <c r="AA84" s="17" t="n"/>
      <c r="AB84" s="19" t="n"/>
      <c r="AC84" s="19" t="n"/>
    </row>
    <row r="85">
      <c r="A85" s="15" t="n">
        <v>83</v>
      </c>
      <c r="B85" s="15" t="inlineStr">
        <is>
          <t>Jakobi Meyers</t>
        </is>
      </c>
      <c r="C85" s="15" t="inlineStr">
        <is>
          <t>WR</t>
        </is>
      </c>
      <c r="D85" s="15" t="inlineStr">
        <is>
          <t>JAX</t>
        </is>
      </c>
      <c r="E85" s="15" t="n">
        <v>7</v>
      </c>
      <c r="F85" s="15" t="inlineStr"/>
      <c r="G85" s="15" t="n">
        <v>82</v>
      </c>
      <c r="H85" s="15" t="n">
        <v>9</v>
      </c>
      <c r="I85" s="15" t="n">
        <v>185.8</v>
      </c>
      <c r="J85" s="15" t="n">
        <v>129.4</v>
      </c>
      <c r="K85" s="15" t="n">
        <v>13</v>
      </c>
      <c r="L85" s="15" t="n">
        <v>115</v>
      </c>
      <c r="M85" s="15" t="n">
        <v>-32</v>
      </c>
      <c r="N85" s="15" t="n">
        <v>-0.02</v>
      </c>
      <c r="O85" s="15" t="n">
        <v>0.11</v>
      </c>
      <c r="P85" s="15" t="n">
        <v>0.17</v>
      </c>
      <c r="Q85" s="15" t="n">
        <v>-0.15</v>
      </c>
      <c r="R85" s="15" t="n">
        <v>0.17</v>
      </c>
      <c r="S85" s="15" t="n">
        <v>0.06</v>
      </c>
      <c r="T85" s="15" t="n">
        <v>0</v>
      </c>
      <c r="U85" s="15" t="n">
        <v>0.07000000000000001</v>
      </c>
      <c r="V85" s="15" t="inlineStr"/>
      <c r="W85" s="16" t="inlineStr"/>
      <c r="X85" s="17" t="n"/>
      <c r="Y85" s="18">
        <f>IFS(X85="","",X85="Very undervalued",2, X85="Undervalued",1, X85="Evenly valued",0, X85="Overvalued",-1, X85="Very overvalued",-2,TRUE,"")</f>
        <v/>
      </c>
      <c r="Z85" s="17" t="n"/>
      <c r="AA85" s="17" t="n"/>
      <c r="AB85" s="19" t="n"/>
      <c r="AC85" s="19" t="n"/>
    </row>
    <row r="86">
      <c r="A86" s="15" t="n">
        <v>84</v>
      </c>
      <c r="B86" s="15" t="inlineStr">
        <is>
          <t>Jordyn Tyson</t>
        </is>
      </c>
      <c r="C86" s="15" t="inlineStr">
        <is>
          <t>WR</t>
        </is>
      </c>
      <c r="D86" s="15" t="inlineStr">
        <is>
          <t>NO</t>
        </is>
      </c>
      <c r="E86" s="15" t="n">
        <v>8</v>
      </c>
      <c r="F86" s="15" t="inlineStr">
        <is>
          <t>Yes</t>
        </is>
      </c>
      <c r="G86" s="15" t="n">
        <v>82</v>
      </c>
      <c r="H86" s="15" t="n">
        <v>9</v>
      </c>
      <c r="I86" s="15" t="n">
        <v>172.4</v>
      </c>
      <c r="J86" s="15" t="n">
        <v>118.1</v>
      </c>
      <c r="K86" s="15" t="n">
        <v>11.1</v>
      </c>
      <c r="L86" s="15" t="n">
        <v>137</v>
      </c>
      <c r="M86" s="15" t="n">
        <v>-53</v>
      </c>
      <c r="N86" s="15" t="n"/>
      <c r="O86" s="15" t="n"/>
      <c r="P86" s="15" t="n">
        <v>-0.07000000000000001</v>
      </c>
      <c r="Q86" s="15" t="n">
        <v>0.27</v>
      </c>
      <c r="R86" s="15" t="n">
        <v>-0.32</v>
      </c>
      <c r="S86" s="15" t="n"/>
      <c r="T86" s="15" t="n"/>
      <c r="U86" s="15" t="n">
        <v>-0.28</v>
      </c>
      <c r="V86" s="15" t="inlineStr">
        <is>
          <t>Rookie/new to league</t>
        </is>
      </c>
      <c r="W86" s="16" t="inlineStr"/>
      <c r="X86" s="17" t="n"/>
      <c r="Y86" s="18">
        <f>IFS(X86="","",X86="Very undervalued",2, X86="Undervalued",1, X86="Evenly valued",0, X86="Overvalued",-1, X86="Very overvalued",-2,TRUE,"")</f>
        <v/>
      </c>
      <c r="Z86" s="17" t="n"/>
      <c r="AA86" s="17" t="n"/>
      <c r="AB86" s="19" t="n"/>
      <c r="AC86" s="19" t="n"/>
    </row>
    <row r="87">
      <c r="A87" s="15" t="n">
        <v>85</v>
      </c>
      <c r="B87" s="15" t="inlineStr">
        <is>
          <t>Sam LaPorta</t>
        </is>
      </c>
      <c r="C87" s="15" t="inlineStr">
        <is>
          <t>TE</t>
        </is>
      </c>
      <c r="D87" s="15" t="inlineStr">
        <is>
          <t>DET</t>
        </is>
      </c>
      <c r="E87" s="15" t="n">
        <v>6</v>
      </c>
      <c r="F87" s="15" t="inlineStr"/>
      <c r="G87" s="15" t="n">
        <v>82</v>
      </c>
      <c r="H87" s="15" t="n">
        <v>9</v>
      </c>
      <c r="I87" s="15" t="n">
        <v>183.3</v>
      </c>
      <c r="J87" s="15" t="n">
        <v>105.1</v>
      </c>
      <c r="K87" s="15" t="n">
        <v>9.5</v>
      </c>
      <c r="L87" s="15" t="n">
        <v>52</v>
      </c>
      <c r="M87" s="15" t="n">
        <v>33</v>
      </c>
      <c r="N87" s="15" t="n">
        <v>0.2</v>
      </c>
      <c r="O87" s="15" t="n">
        <v>0.35</v>
      </c>
      <c r="P87" s="15" t="n">
        <v>0.31</v>
      </c>
      <c r="Q87" s="15" t="n">
        <v>-0.31</v>
      </c>
      <c r="R87" s="15" t="n">
        <v>0.31</v>
      </c>
      <c r="S87" s="15" t="n">
        <v>0.33</v>
      </c>
      <c r="T87" s="15" t="n">
        <v>0</v>
      </c>
      <c r="U87" s="15" t="n">
        <v>-0.38</v>
      </c>
      <c r="V87" s="15" t="inlineStr">
        <is>
          <t>Context</t>
        </is>
      </c>
      <c r="W87" s="16" t="inlineStr">
        <is>
          <t>New play-caller: Drew Petzing.</t>
        </is>
      </c>
      <c r="X87" s="17" t="n"/>
      <c r="Y87" s="18">
        <f>IFS(X87="","",X87="Very undervalued",2, X87="Undervalued",1, X87="Evenly valued",0, X87="Overvalued",-1, X87="Very overvalued",-2,TRUE,"")</f>
        <v/>
      </c>
      <c r="Z87" s="17" t="n"/>
      <c r="AA87" s="17" t="n"/>
      <c r="AB87" s="19" t="n"/>
      <c r="AC87" s="19" t="n"/>
    </row>
    <row r="88">
      <c r="A88" s="15" t="n">
        <v>86</v>
      </c>
      <c r="B88" s="15" t="inlineStr">
        <is>
          <t>Brian Thomas Jr.</t>
        </is>
      </c>
      <c r="C88" s="15" t="inlineStr">
        <is>
          <t>WR</t>
        </is>
      </c>
      <c r="D88" s="15" t="inlineStr">
        <is>
          <t>JAX</t>
        </is>
      </c>
      <c r="E88" s="15" t="n">
        <v>7</v>
      </c>
      <c r="F88" s="15" t="inlineStr"/>
      <c r="G88" s="15" t="n">
        <v>82.7</v>
      </c>
      <c r="H88" s="15" t="n">
        <v>9</v>
      </c>
      <c r="I88" s="15" t="n">
        <v>175.1</v>
      </c>
      <c r="J88" s="15" t="n">
        <v>122.3</v>
      </c>
      <c r="K88" s="15" t="n">
        <v>12.7</v>
      </c>
      <c r="L88" s="15" t="n">
        <v>128</v>
      </c>
      <c r="M88" s="15" t="n">
        <v>-42</v>
      </c>
      <c r="N88" s="15" t="n">
        <v>0.11</v>
      </c>
      <c r="O88" s="15" t="n">
        <v>0.03</v>
      </c>
      <c r="P88" s="15" t="n">
        <v>0.27</v>
      </c>
      <c r="Q88" s="15" t="n">
        <v>-0.13</v>
      </c>
      <c r="R88" s="15" t="n">
        <v>0.27</v>
      </c>
      <c r="S88" s="15" t="n">
        <v>0.07000000000000001</v>
      </c>
      <c r="T88" s="15" t="n">
        <v>0.14</v>
      </c>
      <c r="U88" s="15" t="n">
        <v>-0.05</v>
      </c>
      <c r="V88" s="15" t="inlineStr"/>
      <c r="W88" s="16" t="inlineStr"/>
      <c r="X88" s="17" t="n"/>
      <c r="Y88" s="18">
        <f>IFS(X88="","",X88="Very undervalued",2, X88="Undervalued",1, X88="Evenly valued",0, X88="Overvalued",-1, X88="Very overvalued",-2,TRUE,"")</f>
        <v/>
      </c>
      <c r="Z88" s="17" t="n"/>
      <c r="AA88" s="17" t="n"/>
      <c r="AB88" s="19" t="n"/>
      <c r="AC88" s="19" t="n"/>
    </row>
    <row r="89">
      <c r="A89" s="15" t="n">
        <v>87</v>
      </c>
      <c r="B89" s="15" t="inlineStr">
        <is>
          <t>Chris Godwin Jr.</t>
        </is>
      </c>
      <c r="C89" s="15" t="inlineStr">
        <is>
          <t>WR</t>
        </is>
      </c>
      <c r="D89" s="15" t="inlineStr">
        <is>
          <t>TB</t>
        </is>
      </c>
      <c r="E89" s="15" t="n">
        <v>10</v>
      </c>
      <c r="F89" s="15" t="inlineStr"/>
      <c r="G89" s="15" t="n">
        <v>85.90000000000001</v>
      </c>
      <c r="H89" s="15" t="n">
        <v>9</v>
      </c>
      <c r="I89" s="15" t="n">
        <v>181</v>
      </c>
      <c r="J89" s="15" t="n">
        <v>88.5</v>
      </c>
      <c r="K89" s="15" t="n">
        <v>9</v>
      </c>
      <c r="L89" s="15" t="n">
        <v>121</v>
      </c>
      <c r="M89" s="15" t="n">
        <v>-34</v>
      </c>
      <c r="N89" s="15" t="n">
        <v>0.04</v>
      </c>
      <c r="O89" s="15" t="n">
        <v>0.11</v>
      </c>
      <c r="P89" s="15" t="n">
        <v>0.46</v>
      </c>
      <c r="Q89" s="15" t="n">
        <v>-0.12</v>
      </c>
      <c r="R89" s="15" t="n">
        <v>0.46</v>
      </c>
      <c r="S89" s="15" t="n">
        <v>0.11</v>
      </c>
      <c r="T89" s="15" t="n">
        <v>0.44</v>
      </c>
      <c r="U89" s="15" t="n">
        <v>-0.46</v>
      </c>
      <c r="V89" s="15" t="inlineStr">
        <is>
          <t>Room change</t>
        </is>
      </c>
      <c r="W89" s="16" t="inlineStr">
        <is>
          <t>New play-caller: Zac Robinson. Departures: Mike Evans.</t>
        </is>
      </c>
      <c r="X89" s="17" t="n"/>
      <c r="Y89" s="18">
        <f>IFS(X89="","",X89="Very undervalued",2, X89="Undervalued",1, X89="Evenly valued",0, X89="Overvalued",-1, X89="Very overvalued",-2,TRUE,"")</f>
        <v/>
      </c>
      <c r="Z89" s="17" t="n"/>
      <c r="AA89" s="17" t="n"/>
      <c r="AB89" s="19" t="n"/>
      <c r="AC89" s="19" t="n"/>
    </row>
    <row r="90">
      <c r="A90" s="15" t="n">
        <v>88</v>
      </c>
      <c r="B90" s="15" t="inlineStr">
        <is>
          <t>Michael Wilson</t>
        </is>
      </c>
      <c r="C90" s="15" t="inlineStr">
        <is>
          <t>WR</t>
        </is>
      </c>
      <c r="D90" s="15" t="inlineStr">
        <is>
          <t>ARI</t>
        </is>
      </c>
      <c r="E90" s="15" t="n">
        <v>14</v>
      </c>
      <c r="F90" s="15" t="inlineStr"/>
      <c r="G90" s="15" t="n">
        <v>87.5</v>
      </c>
      <c r="H90" s="15" t="n">
        <v>9</v>
      </c>
      <c r="I90" s="15" t="n">
        <v>173.4</v>
      </c>
      <c r="J90" s="15" t="n">
        <v>137.3</v>
      </c>
      <c r="K90" s="15" t="n">
        <v>13.7</v>
      </c>
      <c r="L90" s="15" t="n">
        <v>132</v>
      </c>
      <c r="M90" s="15" t="n">
        <v>-44</v>
      </c>
      <c r="N90" s="15" t="n">
        <v>0.21</v>
      </c>
      <c r="O90" s="15" t="n">
        <v>0.07000000000000001</v>
      </c>
      <c r="P90" s="15" t="n">
        <v>-0.41</v>
      </c>
      <c r="Q90" s="15" t="n">
        <v>-0.11</v>
      </c>
      <c r="R90" s="15" t="n">
        <v>-0.27</v>
      </c>
      <c r="S90" s="15" t="n">
        <v>0.24</v>
      </c>
      <c r="T90" s="15" t="n">
        <v>0.24</v>
      </c>
      <c r="U90" s="15" t="n">
        <v>0.41</v>
      </c>
      <c r="V90" s="15" t="inlineStr">
        <is>
          <t>Context</t>
        </is>
      </c>
      <c r="W90" s="16" t="inlineStr">
        <is>
          <t>New play-caller: Mike LaFleur.</t>
        </is>
      </c>
      <c r="X90" s="17" t="n"/>
      <c r="Y90" s="18">
        <f>IFS(X90="","",X90="Very undervalued",2, X90="Undervalued",1, X90="Evenly valued",0, X90="Overvalued",-1, X90="Very overvalued",-2,TRUE,"")</f>
        <v/>
      </c>
      <c r="Z90" s="17" t="n"/>
      <c r="AA90" s="17" t="n"/>
      <c r="AB90" s="19" t="n"/>
      <c r="AC90" s="19" t="n"/>
    </row>
    <row r="91">
      <c r="A91" s="15" t="n">
        <v>89</v>
      </c>
      <c r="B91" s="15" t="inlineStr">
        <is>
          <t>Trevor Lawrence</t>
        </is>
      </c>
      <c r="C91" s="15" t="inlineStr">
        <is>
          <t>QB</t>
        </is>
      </c>
      <c r="D91" s="15" t="inlineStr">
        <is>
          <t>JAX</t>
        </is>
      </c>
      <c r="E91" s="15" t="n">
        <v>7</v>
      </c>
      <c r="F91" s="15" t="inlineStr"/>
      <c r="G91" s="15" t="n">
        <v>88.7</v>
      </c>
      <c r="H91" s="15" t="n">
        <v>9</v>
      </c>
      <c r="I91" s="15" t="n">
        <v>290.8</v>
      </c>
      <c r="J91" s="15" t="n">
        <v>246</v>
      </c>
      <c r="K91" s="15" t="n">
        <v>14.2</v>
      </c>
      <c r="L91" s="15" t="n">
        <v>76</v>
      </c>
      <c r="M91" s="15" t="n">
        <v>13</v>
      </c>
      <c r="N91" s="15" t="n">
        <v>0.36</v>
      </c>
      <c r="O91" s="15" t="n">
        <v>0</v>
      </c>
      <c r="P91" s="15" t="n">
        <v>-0.4</v>
      </c>
      <c r="Q91" s="15" t="n">
        <v>0.4</v>
      </c>
      <c r="R91" s="15" t="n">
        <v>-0.4</v>
      </c>
      <c r="S91" s="15" t="n">
        <v>0.18</v>
      </c>
      <c r="T91" s="15" t="n">
        <v>0.24</v>
      </c>
      <c r="U91" s="15" t="n">
        <v>0.27</v>
      </c>
      <c r="V91" s="15" t="inlineStr"/>
      <c r="W91" s="16" t="inlineStr"/>
      <c r="X91" s="17" t="n"/>
      <c r="Y91" s="18">
        <f>IFS(X91="","",X91="Very undervalued",2, X91="Undervalued",1, X91="Evenly valued",0, X91="Overvalued",-1, X91="Very overvalued",-2,TRUE,"")</f>
        <v/>
      </c>
      <c r="Z91" s="17" t="n"/>
      <c r="AA91" s="17" t="n"/>
      <c r="AB91" s="19" t="n"/>
      <c r="AC91" s="19" t="n"/>
    </row>
    <row r="92">
      <c r="A92" s="15" t="n">
        <v>90</v>
      </c>
      <c r="B92" s="15" t="inlineStr">
        <is>
          <t>Matthew Stafford</t>
        </is>
      </c>
      <c r="C92" s="15" t="inlineStr">
        <is>
          <t>QB</t>
        </is>
      </c>
      <c r="D92" s="15" t="inlineStr">
        <is>
          <t>LAR</t>
        </is>
      </c>
      <c r="E92" s="15" t="n">
        <v>11</v>
      </c>
      <c r="F92" s="15" t="inlineStr"/>
      <c r="G92" s="15" t="n">
        <v>89.8</v>
      </c>
      <c r="H92" s="15" t="n">
        <v>9</v>
      </c>
      <c r="I92" s="15" t="n">
        <v>285.4</v>
      </c>
      <c r="J92" s="15" t="n">
        <v>209.7</v>
      </c>
      <c r="K92" s="15" t="n">
        <v>13.3</v>
      </c>
      <c r="L92" s="15" t="n">
        <v>90</v>
      </c>
      <c r="M92" s="15" t="n">
        <v>0</v>
      </c>
      <c r="N92" s="15" t="n">
        <v>-0.05</v>
      </c>
      <c r="O92" s="15" t="n">
        <v>0</v>
      </c>
      <c r="P92" s="15" t="n">
        <v>0.07000000000000001</v>
      </c>
      <c r="Q92" s="15" t="n">
        <v>-0.27</v>
      </c>
      <c r="R92" s="15" t="n">
        <v>0.2</v>
      </c>
      <c r="S92" s="15" t="n">
        <v>0.41</v>
      </c>
      <c r="T92" s="15" t="n">
        <v>0.12</v>
      </c>
      <c r="U92" s="15" t="n">
        <v>-0.13</v>
      </c>
      <c r="V92" s="15" t="inlineStr"/>
      <c r="W92" s="16" t="inlineStr"/>
      <c r="X92" s="17" t="n"/>
      <c r="Y92" s="18">
        <f>IFS(X92="","",X92="Very undervalued",2, X92="Undervalued",1, X92="Evenly valued",0, X92="Overvalued",-1, X92="Very overvalued",-2,TRUE,"")</f>
        <v/>
      </c>
      <c r="Z92" s="17" t="n"/>
      <c r="AA92" s="17" t="n"/>
      <c r="AB92" s="19" t="n"/>
      <c r="AC92" s="19" t="n"/>
    </row>
    <row r="93">
      <c r="A93" s="15" t="n">
        <v>91</v>
      </c>
      <c r="B93" s="15" t="inlineStr">
        <is>
          <t>J.K. Dobbins</t>
        </is>
      </c>
      <c r="C93" s="15" t="inlineStr">
        <is>
          <t>RB</t>
        </is>
      </c>
      <c r="D93" s="15" t="inlineStr">
        <is>
          <t>DEN</t>
        </is>
      </c>
      <c r="E93" s="15" t="n">
        <v>10</v>
      </c>
      <c r="F93" s="15" t="inlineStr"/>
      <c r="G93" s="15" t="n">
        <v>90.40000000000001</v>
      </c>
      <c r="H93" s="15" t="n">
        <v>10</v>
      </c>
      <c r="I93" s="15" t="n">
        <v>174.9</v>
      </c>
      <c r="J93" s="15" t="n">
        <v>78.90000000000001</v>
      </c>
      <c r="K93" s="15" t="n">
        <v>9.300000000000001</v>
      </c>
      <c r="L93" s="15" t="n">
        <v>116</v>
      </c>
      <c r="M93" s="15" t="n">
        <v>-25</v>
      </c>
      <c r="N93" s="15" t="n">
        <v>0.16</v>
      </c>
      <c r="O93" s="15" t="n">
        <v>0.12</v>
      </c>
      <c r="P93" s="15" t="n">
        <v>0.39</v>
      </c>
      <c r="Q93" s="15" t="n">
        <v>-0.21</v>
      </c>
      <c r="R93" s="15" t="n">
        <v>0.39</v>
      </c>
      <c r="S93" s="15" t="n">
        <v>0</v>
      </c>
      <c r="T93" s="15" t="n">
        <v>0.1</v>
      </c>
      <c r="U93" s="15" t="n">
        <v>-0.42</v>
      </c>
      <c r="V93" s="15" t="inlineStr">
        <is>
          <t>Room change</t>
        </is>
      </c>
      <c r="W93" s="16" t="inlineStr">
        <is>
          <t>New play-caller: Davis Webb. Arrivals in the room: Jonah Coleman.</t>
        </is>
      </c>
      <c r="X93" s="17" t="n"/>
      <c r="Y93" s="18">
        <f>IFS(X93="","",X93="Very undervalued",2, X93="Undervalued",1, X93="Evenly valued",0, X93="Overvalued",-1, X93="Very overvalued",-2,TRUE,"")</f>
        <v/>
      </c>
      <c r="Z93" s="17" t="n"/>
      <c r="AA93" s="17" t="n"/>
      <c r="AB93" s="19" t="n"/>
      <c r="AC93" s="19" t="n"/>
    </row>
    <row r="94">
      <c r="A94" s="15" t="n">
        <v>92</v>
      </c>
      <c r="B94" s="15" t="inlineStr">
        <is>
          <t>RJ Harvey</t>
        </is>
      </c>
      <c r="C94" s="15" t="inlineStr">
        <is>
          <t>RB</t>
        </is>
      </c>
      <c r="D94" s="15" t="inlineStr">
        <is>
          <t>DEN</t>
        </is>
      </c>
      <c r="E94" s="15" t="n">
        <v>10</v>
      </c>
      <c r="F94" s="15" t="inlineStr">
        <is>
          <t>Yes</t>
        </is>
      </c>
      <c r="G94" s="15" t="n">
        <v>90.40000000000001</v>
      </c>
      <c r="H94" s="15" t="n">
        <v>10</v>
      </c>
      <c r="I94" s="15" t="n">
        <v>178.9</v>
      </c>
      <c r="J94" s="15" t="n">
        <v>114.6</v>
      </c>
      <c r="K94" s="15" t="n">
        <v>13.3</v>
      </c>
      <c r="L94" s="15" t="n">
        <v>114</v>
      </c>
      <c r="M94" s="15" t="n">
        <v>-22</v>
      </c>
      <c r="N94" s="15" t="n">
        <v>0.37</v>
      </c>
      <c r="O94" s="15" t="n">
        <v>0.03</v>
      </c>
      <c r="P94" s="15" t="n">
        <v>-0.16</v>
      </c>
      <c r="Q94" s="15" t="n">
        <v>-0.19</v>
      </c>
      <c r="R94" s="15" t="n">
        <v>-0.13</v>
      </c>
      <c r="S94" s="15" t="n">
        <v>0.24</v>
      </c>
      <c r="T94" s="15" t="n">
        <v>0.24</v>
      </c>
      <c r="U94" s="15" t="n">
        <v>0.39</v>
      </c>
      <c r="V94" s="15" t="inlineStr">
        <is>
          <t>Room change</t>
        </is>
      </c>
      <c r="W94" s="16" t="inlineStr">
        <is>
          <t>New play-caller: Davis Webb. Arrivals in the room: Jonah Coleman.</t>
        </is>
      </c>
      <c r="X94" s="17" t="n"/>
      <c r="Y94" s="18">
        <f>IFS(X94="","",X94="Very undervalued",2, X94="Undervalued",1, X94="Evenly valued",0, X94="Overvalued",-1, X94="Very overvalued",-2,TRUE,"")</f>
        <v/>
      </c>
      <c r="Z94" s="17" t="n"/>
      <c r="AA94" s="17" t="n"/>
      <c r="AB94" s="19" t="n"/>
      <c r="AC94" s="19" t="n"/>
    </row>
    <row r="95">
      <c r="A95" s="15" t="n">
        <v>93</v>
      </c>
      <c r="B95" s="15" t="inlineStr">
        <is>
          <t>Jayden Reed</t>
        </is>
      </c>
      <c r="C95" s="15" t="inlineStr">
        <is>
          <t>WR</t>
        </is>
      </c>
      <c r="D95" s="15" t="inlineStr">
        <is>
          <t>GB</t>
        </is>
      </c>
      <c r="E95" s="15" t="n">
        <v>11</v>
      </c>
      <c r="F95" s="15" t="inlineStr"/>
      <c r="G95" s="15" t="n">
        <v>91.3</v>
      </c>
      <c r="H95" s="15" t="n">
        <v>10</v>
      </c>
      <c r="I95" s="15" t="n">
        <v>175.8</v>
      </c>
      <c r="J95" s="15" t="n">
        <v>120.5</v>
      </c>
      <c r="K95" s="15" t="n">
        <v>11.1</v>
      </c>
      <c r="L95" s="15" t="n">
        <v>127</v>
      </c>
      <c r="M95" s="15" t="n">
        <v>-34</v>
      </c>
      <c r="N95" s="15" t="n">
        <v>0.04</v>
      </c>
      <c r="O95" s="15" t="n">
        <v>0.25</v>
      </c>
      <c r="P95" s="15" t="n">
        <v>-0.27</v>
      </c>
      <c r="Q95" s="15" t="n">
        <v>0.44</v>
      </c>
      <c r="R95" s="15" t="n">
        <v>-0.44</v>
      </c>
      <c r="S95" s="15" t="n">
        <v>0</v>
      </c>
      <c r="T95" s="15" t="n">
        <v>0</v>
      </c>
      <c r="U95" s="15" t="n">
        <v>-0.27</v>
      </c>
      <c r="V95" s="15" t="inlineStr">
        <is>
          <t>Room change</t>
        </is>
      </c>
      <c r="W95" s="16" t="inlineStr">
        <is>
          <t>Departures: Dontayvion Wicks, Romeo Doubs.</t>
        </is>
      </c>
      <c r="X95" s="17" t="n"/>
      <c r="Y95" s="18">
        <f>IFS(X95="","",X95="Very undervalued",2, X95="Undervalued",1, X95="Evenly valued",0, X95="Overvalued",-1, X95="Very overvalued",-2,TRUE,"")</f>
        <v/>
      </c>
      <c r="Z95" s="17" t="n"/>
      <c r="AA95" s="17" t="n"/>
      <c r="AB95" s="19" t="n"/>
      <c r="AC95" s="19" t="n"/>
    </row>
    <row r="96">
      <c r="A96" s="15" t="n">
        <v>94</v>
      </c>
      <c r="B96" s="15" t="inlineStr">
        <is>
          <t>Josh Downs</t>
        </is>
      </c>
      <c r="C96" s="15" t="inlineStr">
        <is>
          <t>WR</t>
        </is>
      </c>
      <c r="D96" s="15" t="inlineStr">
        <is>
          <t>IND</t>
        </is>
      </c>
      <c r="E96" s="15" t="n">
        <v>13</v>
      </c>
      <c r="F96" s="15" t="inlineStr"/>
      <c r="G96" s="15" t="n">
        <v>92.09999999999999</v>
      </c>
      <c r="H96" s="15" t="n">
        <v>10</v>
      </c>
      <c r="I96" s="15" t="n">
        <v>171.2</v>
      </c>
      <c r="J96" s="15" t="n">
        <v>133.3</v>
      </c>
      <c r="K96" s="15" t="n">
        <v>13.5</v>
      </c>
      <c r="L96" s="15" t="n">
        <v>138</v>
      </c>
      <c r="M96" s="15" t="n">
        <v>-44</v>
      </c>
      <c r="N96" s="15" t="n">
        <v>0.06</v>
      </c>
      <c r="O96" s="15" t="n">
        <v>0.24</v>
      </c>
      <c r="P96" s="15" t="n">
        <v>-0.41</v>
      </c>
      <c r="Q96" s="15" t="n">
        <v>-0.11</v>
      </c>
      <c r="R96" s="15" t="n">
        <v>-0.24</v>
      </c>
      <c r="S96" s="15" t="n">
        <v>0</v>
      </c>
      <c r="T96" s="15" t="n">
        <v>0.31</v>
      </c>
      <c r="U96" s="15" t="n">
        <v>0.24</v>
      </c>
      <c r="V96" s="15" t="inlineStr">
        <is>
          <t>Room change</t>
        </is>
      </c>
      <c r="W96" s="16" t="inlineStr">
        <is>
          <t>Departures: Michael Pittman Jr..</t>
        </is>
      </c>
      <c r="X96" s="17" t="n"/>
      <c r="Y96" s="18">
        <f>IFS(X96="","",X96="Very undervalued",2, X96="Undervalued",1, X96="Evenly valued",0, X96="Overvalued",-1, X96="Very overvalued",-2,TRUE,"")</f>
        <v/>
      </c>
      <c r="Z96" s="17" t="n"/>
      <c r="AA96" s="17" t="n"/>
      <c r="AB96" s="19" t="n"/>
      <c r="AC96" s="19" t="n"/>
    </row>
    <row r="97">
      <c r="A97" s="15" t="n">
        <v>95</v>
      </c>
      <c r="B97" s="15" t="inlineStr">
        <is>
          <t>Travis Kelce</t>
        </is>
      </c>
      <c r="C97" s="15" t="inlineStr">
        <is>
          <t>TE</t>
        </is>
      </c>
      <c r="D97" s="15" t="inlineStr">
        <is>
          <t>KC</t>
        </is>
      </c>
      <c r="E97" s="15" t="n">
        <v>5</v>
      </c>
      <c r="F97" s="15" t="inlineStr"/>
      <c r="G97" s="15" t="n">
        <v>95</v>
      </c>
      <c r="H97" s="15" t="n">
        <v>10</v>
      </c>
      <c r="I97" s="15" t="n">
        <v>185.9</v>
      </c>
      <c r="J97" s="15" t="n">
        <v>143.6</v>
      </c>
      <c r="K97" s="15" t="n">
        <v>12.7</v>
      </c>
      <c r="L97" s="15" t="n">
        <v>49</v>
      </c>
      <c r="M97" s="15" t="n">
        <v>46</v>
      </c>
      <c r="N97" s="15" t="n">
        <v>0.13</v>
      </c>
      <c r="O97" s="15" t="n">
        <v>0.18</v>
      </c>
      <c r="P97" s="15" t="n">
        <v>-0.15</v>
      </c>
      <c r="Q97" s="15" t="n">
        <v>0.08</v>
      </c>
      <c r="R97" s="15" t="n">
        <v>-0.08</v>
      </c>
      <c r="S97" s="15" t="n">
        <v>0.24</v>
      </c>
      <c r="T97" s="15" t="n">
        <v>0.12</v>
      </c>
      <c r="U97" s="15" t="n">
        <v>0</v>
      </c>
      <c r="V97" s="15" t="inlineStr"/>
      <c r="W97" s="16" t="inlineStr"/>
      <c r="X97" s="17" t="n"/>
      <c r="Y97" s="18">
        <f>IFS(X97="","",X97="Very undervalued",2, X97="Undervalued",1, X97="Evenly valued",0, X97="Overvalued",-1, X97="Very overvalued",-2,TRUE,"")</f>
        <v/>
      </c>
      <c r="Z97" s="17" t="n"/>
      <c r="AA97" s="17" t="n"/>
      <c r="AB97" s="19" t="n"/>
      <c r="AC97" s="19" t="n"/>
    </row>
    <row r="98">
      <c r="A98" s="15" t="n">
        <v>96</v>
      </c>
      <c r="B98" s="15" t="inlineStr">
        <is>
          <t>Seattle Defense</t>
        </is>
      </c>
      <c r="C98" s="15" t="inlineStr">
        <is>
          <t>DEF</t>
        </is>
      </c>
      <c r="D98" s="15" t="inlineStr">
        <is>
          <t>SEA</t>
        </is>
      </c>
      <c r="E98" s="15" t="n"/>
      <c r="F98" s="15" t="inlineStr"/>
      <c r="G98" s="15" t="n">
        <v>96.09999999999999</v>
      </c>
      <c r="H98" s="15" t="n">
        <v>10</v>
      </c>
      <c r="I98" s="15" t="n"/>
      <c r="J98" s="15" t="n"/>
      <c r="K98" s="15" t="n"/>
      <c r="L98" s="15" t="n"/>
      <c r="M98" s="15" t="n"/>
      <c r="N98" s="15" t="n"/>
      <c r="O98" s="15" t="n"/>
      <c r="P98" s="15" t="n"/>
      <c r="Q98" s="15" t="n"/>
      <c r="R98" s="15" t="n"/>
      <c r="S98" s="15" t="n"/>
      <c r="T98" s="15" t="n"/>
      <c r="U98" s="15" t="n"/>
      <c r="V98" s="15" t="inlineStr"/>
      <c r="W98" s="16" t="inlineStr"/>
      <c r="X98" s="17" t="n"/>
      <c r="Y98" s="18">
        <f>IFS(X98="","",X98="Very undervalued",2, X98="Undervalued",1, X98="Evenly valued",0, X98="Overvalued",-1, X98="Very overvalued",-2,TRUE,"")</f>
        <v/>
      </c>
      <c r="Z98" s="17" t="n"/>
      <c r="AA98" s="17" t="n"/>
      <c r="AB98" s="19" t="n"/>
      <c r="AC98" s="19" t="n"/>
    </row>
    <row r="99">
      <c r="A99" s="15" t="n">
        <v>97</v>
      </c>
      <c r="B99" s="15" t="inlineStr">
        <is>
          <t>Aaron Jones Sr.</t>
        </is>
      </c>
      <c r="C99" s="15" t="inlineStr">
        <is>
          <t>RB</t>
        </is>
      </c>
      <c r="D99" s="15" t="inlineStr">
        <is>
          <t>MIN</t>
        </is>
      </c>
      <c r="E99" s="15" t="n">
        <v>6</v>
      </c>
      <c r="F99" s="15" t="inlineStr"/>
      <c r="G99" s="15" t="n">
        <v>96.09999999999999</v>
      </c>
      <c r="H99" s="15" t="n">
        <v>10</v>
      </c>
      <c r="I99" s="15" t="n">
        <v>174.8</v>
      </c>
      <c r="J99" s="15" t="n">
        <v>81.7</v>
      </c>
      <c r="K99" s="15" t="n">
        <v>10</v>
      </c>
      <c r="L99" s="15" t="n">
        <v>117</v>
      </c>
      <c r="M99" s="15" t="n">
        <v>-20</v>
      </c>
      <c r="N99" s="15" t="n">
        <v>0.03</v>
      </c>
      <c r="O99" s="15" t="n">
        <v>0.1</v>
      </c>
      <c r="P99" s="15" t="n">
        <v>0.35</v>
      </c>
      <c r="Q99" s="15" t="n">
        <v>-0.18</v>
      </c>
      <c r="R99" s="15" t="n">
        <v>0.39</v>
      </c>
      <c r="S99" s="15" t="n">
        <v>0</v>
      </c>
      <c r="T99" s="15" t="n">
        <v>0.25</v>
      </c>
      <c r="U99" s="15" t="n">
        <v>-0.35</v>
      </c>
      <c r="V99" s="15" t="inlineStr">
        <is>
          <t>Context</t>
        </is>
      </c>
      <c r="W99" s="16" t="inlineStr">
        <is>
          <t>New starting QB: Kyler Murray.</t>
        </is>
      </c>
      <c r="X99" s="17" t="n"/>
      <c r="Y99" s="18">
        <f>IFS(X99="","",X99="Very undervalued",2, X99="Undervalued",1, X99="Evenly valued",0, X99="Overvalued",-1, X99="Very overvalued",-2,TRUE,"")</f>
        <v/>
      </c>
      <c r="Z99" s="17" t="n"/>
      <c r="AA99" s="17" t="n"/>
      <c r="AB99" s="19" t="n"/>
      <c r="AC99" s="19" t="n"/>
    </row>
    <row r="100">
      <c r="A100" s="15" t="n">
        <v>98</v>
      </c>
      <c r="B100" s="15" t="inlineStr">
        <is>
          <t>Jordan Addison</t>
        </is>
      </c>
      <c r="C100" s="15" t="inlineStr">
        <is>
          <t>WR</t>
        </is>
      </c>
      <c r="D100" s="15" t="inlineStr">
        <is>
          <t>MIN</t>
        </is>
      </c>
      <c r="E100" s="15" t="n">
        <v>6</v>
      </c>
      <c r="F100" s="15" t="inlineStr"/>
      <c r="G100" s="15" t="n">
        <v>96.8</v>
      </c>
      <c r="H100" s="15" t="n">
        <v>10</v>
      </c>
      <c r="I100" s="15" t="n">
        <v>167.3</v>
      </c>
      <c r="J100" s="15" t="n">
        <v>118.6</v>
      </c>
      <c r="K100" s="15" t="n">
        <v>12.6</v>
      </c>
      <c r="L100" s="15" t="n">
        <v>143</v>
      </c>
      <c r="M100" s="15" t="n">
        <v>-45</v>
      </c>
      <c r="N100" s="15" t="n">
        <v>0.1</v>
      </c>
      <c r="O100" s="15" t="n">
        <v>-0.02</v>
      </c>
      <c r="P100" s="15" t="n">
        <v>0.1</v>
      </c>
      <c r="Q100" s="15" t="n">
        <v>-0.11</v>
      </c>
      <c r="R100" s="15" t="n">
        <v>0.17</v>
      </c>
      <c r="S100" s="15" t="n">
        <v>0.07000000000000001</v>
      </c>
      <c r="T100" s="15" t="n">
        <v>0.21</v>
      </c>
      <c r="U100" s="15" t="n">
        <v>-0.05</v>
      </c>
      <c r="V100" s="15" t="inlineStr">
        <is>
          <t>Room change</t>
        </is>
      </c>
      <c r="W100" s="16" t="inlineStr">
        <is>
          <t>New starting QB: Kyler Murray. Arrivals in the room: Jauan Jennings. Departures: Jalen Nailor.</t>
        </is>
      </c>
      <c r="X100" s="17" t="n"/>
      <c r="Y100" s="18">
        <f>IFS(X100="","",X100="Very undervalued",2, X100="Undervalued",1, X100="Evenly valued",0, X100="Overvalued",-1, X100="Very overvalued",-2,TRUE,"")</f>
        <v/>
      </c>
      <c r="Z100" s="17" t="n"/>
      <c r="AA100" s="17" t="n"/>
      <c r="AB100" s="19" t="n"/>
      <c r="AC100" s="19" t="n"/>
    </row>
    <row r="101">
      <c r="A101" s="15" t="n">
        <v>99</v>
      </c>
      <c r="B101" s="15" t="inlineStr">
        <is>
          <t>Denver Defense</t>
        </is>
      </c>
      <c r="C101" s="15" t="inlineStr">
        <is>
          <t>DEF</t>
        </is>
      </c>
      <c r="D101" s="15" t="inlineStr">
        <is>
          <t>DEN</t>
        </is>
      </c>
      <c r="E101" s="15" t="n"/>
      <c r="F101" s="15" t="inlineStr"/>
      <c r="G101" s="15" t="n">
        <v>97.40000000000001</v>
      </c>
      <c r="H101" s="15" t="n">
        <v>10</v>
      </c>
      <c r="I101" s="15" t="n"/>
      <c r="J101" s="15" t="n"/>
      <c r="K101" s="15" t="n"/>
      <c r="L101" s="15" t="n"/>
      <c r="M101" s="15" t="n"/>
      <c r="N101" s="15" t="n"/>
      <c r="O101" s="15" t="n"/>
      <c r="P101" s="15" t="n"/>
      <c r="Q101" s="15" t="n"/>
      <c r="R101" s="15" t="n"/>
      <c r="S101" s="15" t="n"/>
      <c r="T101" s="15" t="n"/>
      <c r="U101" s="15" t="n"/>
      <c r="V101" s="15" t="inlineStr"/>
      <c r="W101" s="16" t="inlineStr"/>
      <c r="X101" s="17" t="n"/>
      <c r="Y101" s="18">
        <f>IFS(X101="","",X101="Very undervalued",2, X101="Undervalued",1, X101="Evenly valued",0, X101="Overvalued",-1, X101="Very overvalued",-2,TRUE,"")</f>
        <v/>
      </c>
      <c r="Z101" s="17" t="n"/>
      <c r="AA101" s="17" t="n"/>
      <c r="AB101" s="19" t="n"/>
      <c r="AC101" s="19" t="n"/>
    </row>
    <row r="102">
      <c r="A102" s="15" t="n">
        <v>100</v>
      </c>
      <c r="B102" s="15" t="inlineStr">
        <is>
          <t>Kyle Monangai</t>
        </is>
      </c>
      <c r="C102" s="15" t="inlineStr">
        <is>
          <t>RB</t>
        </is>
      </c>
      <c r="D102" s="15" t="inlineStr">
        <is>
          <t>CHI</t>
        </is>
      </c>
      <c r="E102" s="15" t="n">
        <v>10</v>
      </c>
      <c r="F102" s="15" t="inlineStr"/>
      <c r="G102" s="15" t="n">
        <v>97.8</v>
      </c>
      <c r="H102" s="15" t="n">
        <v>10</v>
      </c>
      <c r="I102" s="15" t="n">
        <v>156</v>
      </c>
      <c r="J102" s="15" t="n">
        <v>103.6</v>
      </c>
      <c r="K102" s="15" t="n">
        <v>13.5</v>
      </c>
      <c r="L102" s="15" t="n">
        <v>147</v>
      </c>
      <c r="M102" s="15" t="n">
        <v>-47</v>
      </c>
      <c r="N102" s="15" t="n">
        <v>-0.01</v>
      </c>
      <c r="O102" s="15" t="n">
        <v>-0</v>
      </c>
      <c r="P102" s="15" t="n">
        <v>-0.06</v>
      </c>
      <c r="Q102" s="15" t="n">
        <v>-0.16</v>
      </c>
      <c r="R102" s="15" t="n">
        <v>-0.06</v>
      </c>
      <c r="S102" s="15" t="n">
        <v>0.06</v>
      </c>
      <c r="T102" s="15" t="n">
        <v>0.47</v>
      </c>
      <c r="U102" s="15" t="n">
        <v>0.45</v>
      </c>
      <c r="V102" s="15" t="inlineStr"/>
      <c r="W102" s="16" t="inlineStr"/>
      <c r="X102" s="17" t="n"/>
      <c r="Y102" s="18">
        <f>IFS(X102="","",X102="Very undervalued",2, X102="Undervalued",1, X102="Evenly valued",0, X102="Overvalued",-1, X102="Very overvalued",-2,TRUE,"")</f>
        <v/>
      </c>
      <c r="Z102" s="17" t="n"/>
      <c r="AA102" s="17" t="n"/>
      <c r="AB102" s="19" t="n"/>
      <c r="AC102" s="19" t="n"/>
    </row>
    <row r="103">
      <c r="A103" s="15" t="n">
        <v>101</v>
      </c>
      <c r="B103" s="15" t="inlineStr">
        <is>
          <t>Quentin Johnston</t>
        </is>
      </c>
      <c r="C103" s="15" t="inlineStr">
        <is>
          <t>WR</t>
        </is>
      </c>
      <c r="D103" s="15" t="inlineStr">
        <is>
          <t>LAC</t>
        </is>
      </c>
      <c r="E103" s="15" t="n">
        <v>7</v>
      </c>
      <c r="F103" s="15" t="inlineStr"/>
      <c r="G103" s="15" t="n">
        <v>98.90000000000001</v>
      </c>
      <c r="H103" s="15" t="n">
        <v>10</v>
      </c>
      <c r="I103" s="15" t="n">
        <v>169.8</v>
      </c>
      <c r="J103" s="15" t="n">
        <v>114.2</v>
      </c>
      <c r="K103" s="15" t="n">
        <v>12</v>
      </c>
      <c r="L103" s="15" t="n">
        <v>139</v>
      </c>
      <c r="M103" s="15" t="n">
        <v>-38</v>
      </c>
      <c r="N103" s="15" t="n">
        <v>0.38</v>
      </c>
      <c r="O103" s="15" t="n">
        <v>0.04</v>
      </c>
      <c r="P103" s="15" t="n">
        <v>0.22</v>
      </c>
      <c r="Q103" s="15" t="n">
        <v>-0.11</v>
      </c>
      <c r="R103" s="15" t="n">
        <v>0.24</v>
      </c>
      <c r="S103" s="15" t="n">
        <v>0.23</v>
      </c>
      <c r="T103" s="15" t="n">
        <v>0.15</v>
      </c>
      <c r="U103" s="15" t="n">
        <v>-0.05</v>
      </c>
      <c r="V103" s="15" t="inlineStr">
        <is>
          <t>Context</t>
        </is>
      </c>
      <c r="W103" s="16" t="inlineStr">
        <is>
          <t>New play-caller: Mike McDaniel.</t>
        </is>
      </c>
      <c r="X103" s="17" t="n"/>
      <c r="Y103" s="18">
        <f>IFS(X103="","",X103="Very undervalued",2, X103="Undervalued",1, X103="Evenly valued",0, X103="Overvalued",-1, X103="Very overvalued",-2,TRUE,"")</f>
        <v/>
      </c>
      <c r="Z103" s="17" t="n"/>
      <c r="AA103" s="17" t="n"/>
      <c r="AB103" s="19" t="n"/>
      <c r="AC103" s="19" t="n"/>
    </row>
    <row r="104">
      <c r="A104" s="15" t="n">
        <v>102</v>
      </c>
      <c r="B104" s="15" t="inlineStr">
        <is>
          <t>Makai Lemon</t>
        </is>
      </c>
      <c r="C104" s="15" t="inlineStr">
        <is>
          <t>WR</t>
        </is>
      </c>
      <c r="D104" s="15" t="inlineStr">
        <is>
          <t>PHI</t>
        </is>
      </c>
      <c r="E104" s="15" t="n">
        <v>10</v>
      </c>
      <c r="F104" s="15" t="inlineStr">
        <is>
          <t>Yes</t>
        </is>
      </c>
      <c r="G104" s="15" t="n">
        <v>99.90000000000001</v>
      </c>
      <c r="H104" s="15" t="n">
        <v>10</v>
      </c>
      <c r="I104" s="15" t="n">
        <v>166.7</v>
      </c>
      <c r="J104" s="15" t="n">
        <v>114.2</v>
      </c>
      <c r="K104" s="15" t="n">
        <v>11.1</v>
      </c>
      <c r="L104" s="15" t="n">
        <v>144</v>
      </c>
      <c r="M104" s="15" t="n">
        <v>-42</v>
      </c>
      <c r="N104" s="15" t="n"/>
      <c r="O104" s="15" t="n"/>
      <c r="P104" s="15" t="n">
        <v>-0.02</v>
      </c>
      <c r="Q104" s="15" t="n">
        <v>0.41</v>
      </c>
      <c r="R104" s="15" t="n">
        <v>-0.39</v>
      </c>
      <c r="S104" s="15" t="n"/>
      <c r="T104" s="15" t="n"/>
      <c r="U104" s="15" t="n">
        <v>-0.24</v>
      </c>
      <c r="V104" s="15" t="inlineStr">
        <is>
          <t>Rookie/new to league</t>
        </is>
      </c>
      <c r="W104" s="16" t="inlineStr">
        <is>
          <t>New play-caller: Sean Mannion. Arrivals in the room: Dontayvion Wicks. Departures: A.J. Brown.</t>
        </is>
      </c>
      <c r="X104" s="17" t="n"/>
      <c r="Y104" s="18">
        <f>IFS(X104="","",X104="Very undervalued",2, X104="Undervalued",1, X104="Evenly valued",0, X104="Overvalued",-1, X104="Very overvalued",-2,TRUE,"")</f>
        <v/>
      </c>
      <c r="Z104" s="17" t="n"/>
      <c r="AA104" s="17" t="n"/>
      <c r="AB104" s="19" t="n"/>
      <c r="AC104" s="19" t="n"/>
    </row>
    <row r="105">
      <c r="A105" s="15" t="n">
        <v>103</v>
      </c>
      <c r="B105" s="15" t="inlineStr">
        <is>
          <t>Justin Herbert</t>
        </is>
      </c>
      <c r="C105" s="15" t="inlineStr">
        <is>
          <t>QB</t>
        </is>
      </c>
      <c r="D105" s="15" t="inlineStr">
        <is>
          <t>LAC</t>
        </is>
      </c>
      <c r="E105" s="15" t="n">
        <v>7</v>
      </c>
      <c r="F105" s="15" t="inlineStr"/>
      <c r="G105" s="15" t="n">
        <v>100.8</v>
      </c>
      <c r="H105" s="15" t="n">
        <v>11</v>
      </c>
      <c r="I105" s="15" t="n">
        <v>288.6</v>
      </c>
      <c r="J105" s="15" t="n">
        <v>222.2</v>
      </c>
      <c r="K105" s="15" t="n">
        <v>13.7</v>
      </c>
      <c r="L105" s="15" t="n">
        <v>84</v>
      </c>
      <c r="M105" s="15" t="n">
        <v>19</v>
      </c>
      <c r="N105" s="15" t="n">
        <v>0.02</v>
      </c>
      <c r="O105" s="15" t="n">
        <v>0.04</v>
      </c>
      <c r="P105" s="15" t="n">
        <v>0.2</v>
      </c>
      <c r="Q105" s="15" t="n">
        <v>0.07000000000000001</v>
      </c>
      <c r="R105" s="15" t="n">
        <v>0</v>
      </c>
      <c r="S105" s="15" t="n">
        <v>0.31</v>
      </c>
      <c r="T105" s="15" t="n">
        <v>0.12</v>
      </c>
      <c r="U105" s="15" t="n">
        <v>0</v>
      </c>
      <c r="V105" s="15" t="inlineStr">
        <is>
          <t>Context</t>
        </is>
      </c>
      <c r="W105" s="16" t="inlineStr">
        <is>
          <t>New play-caller: Mike McDaniel.</t>
        </is>
      </c>
      <c r="X105" s="17" t="n"/>
      <c r="Y105" s="18">
        <f>IFS(X105="","",X105="Very undervalued",2, X105="Undervalued",1, X105="Evenly valued",0, X105="Overvalued",-1, X105="Very overvalued",-2,TRUE,"")</f>
        <v/>
      </c>
      <c r="Z105" s="17" t="n"/>
      <c r="AA105" s="17" t="n"/>
      <c r="AB105" s="19" t="n"/>
      <c r="AC105" s="19" t="n"/>
    </row>
    <row r="106">
      <c r="A106" s="15" t="n">
        <v>104</v>
      </c>
      <c r="B106" s="15" t="inlineStr">
        <is>
          <t>Caleb Williams</t>
        </is>
      </c>
      <c r="C106" s="15" t="inlineStr">
        <is>
          <t>QB</t>
        </is>
      </c>
      <c r="D106" s="15" t="inlineStr">
        <is>
          <t>CHI</t>
        </is>
      </c>
      <c r="E106" s="15" t="n">
        <v>10</v>
      </c>
      <c r="F106" s="15" t="inlineStr"/>
      <c r="G106" s="15" t="n">
        <v>101.4</v>
      </c>
      <c r="H106" s="15" t="n">
        <v>11</v>
      </c>
      <c r="I106" s="15" t="n">
        <v>290.5</v>
      </c>
      <c r="J106" s="15" t="n">
        <v>231.4</v>
      </c>
      <c r="K106" s="15" t="n">
        <v>14.3</v>
      </c>
      <c r="L106" s="15" t="n">
        <v>81</v>
      </c>
      <c r="M106" s="15" t="n">
        <v>23</v>
      </c>
      <c r="N106" s="15" t="n">
        <v>0.08</v>
      </c>
      <c r="O106" s="15" t="n">
        <v>0.01</v>
      </c>
      <c r="P106" s="15" t="n">
        <v>-0.2</v>
      </c>
      <c r="Q106" s="15" t="n">
        <v>0.07000000000000001</v>
      </c>
      <c r="R106" s="15" t="n">
        <v>-0.13</v>
      </c>
      <c r="S106" s="15" t="n">
        <v>0.18</v>
      </c>
      <c r="T106" s="15" t="n">
        <v>0.29</v>
      </c>
      <c r="U106" s="15" t="n">
        <v>0.47</v>
      </c>
      <c r="V106" s="15" t="inlineStr"/>
      <c r="W106" s="16" t="inlineStr"/>
      <c r="X106" s="17" t="n"/>
      <c r="Y106" s="18">
        <f>IFS(X106="","",X106="Very undervalued",2, X106="Undervalued",1, X106="Evenly valued",0, X106="Overvalued",-1, X106="Very overvalued",-2,TRUE,"")</f>
        <v/>
      </c>
      <c r="Z106" s="17" t="n"/>
      <c r="AA106" s="17" t="n"/>
      <c r="AB106" s="19" t="n"/>
      <c r="AC106" s="19" t="n"/>
    </row>
    <row r="107">
      <c r="A107" s="15" t="n">
        <v>105</v>
      </c>
      <c r="B107" s="15" t="inlineStr">
        <is>
          <t>Rachaad White</t>
        </is>
      </c>
      <c r="C107" s="15" t="inlineStr">
        <is>
          <t>RB</t>
        </is>
      </c>
      <c r="D107" s="15" t="inlineStr">
        <is>
          <t>WAS</t>
        </is>
      </c>
      <c r="E107" s="15" t="n">
        <v>7</v>
      </c>
      <c r="F107" s="15" t="inlineStr"/>
      <c r="G107" s="15" t="n">
        <v>101.7</v>
      </c>
      <c r="H107" s="15" t="n">
        <v>11</v>
      </c>
      <c r="I107" s="15" t="n">
        <v>170.1</v>
      </c>
      <c r="J107" s="15" t="n">
        <v>109</v>
      </c>
      <c r="K107" s="15" t="n">
        <v>13.2</v>
      </c>
      <c r="L107" s="15" t="n">
        <v>123</v>
      </c>
      <c r="M107" s="15" t="n">
        <v>-18</v>
      </c>
      <c r="N107" s="15" t="n">
        <v>-0.02</v>
      </c>
      <c r="O107" s="15" t="n">
        <v>0.14</v>
      </c>
      <c r="P107" s="15" t="n">
        <v>-0.16</v>
      </c>
      <c r="Q107" s="15" t="n">
        <v>-0.15</v>
      </c>
      <c r="R107" s="15" t="n">
        <v>-0.16</v>
      </c>
      <c r="S107" s="15" t="n">
        <v>0.06</v>
      </c>
      <c r="T107" s="15" t="n">
        <v>0.35</v>
      </c>
      <c r="U107" s="15" t="n">
        <v>0.29</v>
      </c>
      <c r="V107" s="15" t="inlineStr">
        <is>
          <t>New team</t>
        </is>
      </c>
      <c r="W107" s="16" t="inlineStr">
        <is>
          <t>Moved from TB to WAS. New play-caller: David Blough. New starting QB: Jayden Daniels. Departures: Chris Rodriguez Jr..</t>
        </is>
      </c>
      <c r="X107" s="17" t="n"/>
      <c r="Y107" s="18">
        <f>IFS(X107="","",X107="Very undervalued",2, X107="Undervalued",1, X107="Evenly valued",0, X107="Overvalued",-1, X107="Very overvalued",-2,TRUE,"")</f>
        <v/>
      </c>
      <c r="Z107" s="17" t="n"/>
      <c r="AA107" s="17" t="n"/>
      <c r="AB107" s="19" t="n"/>
      <c r="AC107" s="19" t="n"/>
    </row>
    <row r="108">
      <c r="A108" s="15" t="n">
        <v>106</v>
      </c>
      <c r="B108" s="15" t="inlineStr">
        <is>
          <t>Patrick Mahomes</t>
        </is>
      </c>
      <c r="C108" s="15" t="inlineStr">
        <is>
          <t>QB</t>
        </is>
      </c>
      <c r="D108" s="15" t="inlineStr">
        <is>
          <t>KC</t>
        </is>
      </c>
      <c r="E108" s="15" t="n">
        <v>5</v>
      </c>
      <c r="F108" s="15" t="inlineStr"/>
      <c r="G108" s="15" t="n">
        <v>102.1</v>
      </c>
      <c r="H108" s="15" t="n">
        <v>11</v>
      </c>
      <c r="I108" s="15" t="n">
        <v>290.3</v>
      </c>
      <c r="J108" s="15" t="n">
        <v>203</v>
      </c>
      <c r="K108" s="15" t="n">
        <v>12.6</v>
      </c>
      <c r="L108" s="15" t="n">
        <v>82</v>
      </c>
      <c r="M108" s="15" t="n">
        <v>24</v>
      </c>
      <c r="N108" s="15" t="n">
        <v>0.23</v>
      </c>
      <c r="O108" s="15" t="n">
        <v>0.05</v>
      </c>
      <c r="P108" s="15" t="n">
        <v>0.2</v>
      </c>
      <c r="Q108" s="15" t="n">
        <v>-0.27</v>
      </c>
      <c r="R108" s="15" t="n">
        <v>0.2</v>
      </c>
      <c r="S108" s="15" t="n">
        <v>0.43</v>
      </c>
      <c r="T108" s="15" t="n">
        <v>0.14</v>
      </c>
      <c r="U108" s="15" t="n">
        <v>-0.2</v>
      </c>
      <c r="V108" s="15" t="inlineStr"/>
      <c r="W108" s="16" t="inlineStr"/>
      <c r="X108" s="17" t="n"/>
      <c r="Y108" s="18">
        <f>IFS(X108="","",X108="Very undervalued",2, X108="Undervalued",1, X108="Evenly valued",0, X108="Overvalued",-1, X108="Very overvalued",-2,TRUE,"")</f>
        <v/>
      </c>
      <c r="Z108" s="17" t="n"/>
      <c r="AA108" s="17" t="n"/>
      <c r="AB108" s="19" t="n"/>
      <c r="AC108" s="19" t="n"/>
    </row>
    <row r="109">
      <c r="A109" s="15" t="n">
        <v>107</v>
      </c>
      <c r="B109" s="15" t="inlineStr">
        <is>
          <t>Ricky Pearsall</t>
        </is>
      </c>
      <c r="C109" s="15" t="inlineStr">
        <is>
          <t>WR</t>
        </is>
      </c>
      <c r="D109" s="15" t="inlineStr">
        <is>
          <t>SF</t>
        </is>
      </c>
      <c r="E109" s="15" t="n">
        <v>8</v>
      </c>
      <c r="F109" s="15" t="inlineStr"/>
      <c r="G109" s="15" t="n">
        <v>103.1</v>
      </c>
      <c r="H109" s="15" t="n">
        <v>11</v>
      </c>
      <c r="I109" s="15" t="n">
        <v>165</v>
      </c>
      <c r="J109" s="15" t="n">
        <v>91.59999999999999</v>
      </c>
      <c r="K109" s="15" t="n">
        <v>9.6</v>
      </c>
      <c r="L109" s="15" t="n">
        <v>146</v>
      </c>
      <c r="M109" s="15" t="n">
        <v>-39</v>
      </c>
      <c r="N109" s="15" t="n">
        <v>-0.09</v>
      </c>
      <c r="O109" s="15" t="n">
        <v>0.12</v>
      </c>
      <c r="P109" s="15" t="n">
        <v>0.44</v>
      </c>
      <c r="Q109" s="15" t="n">
        <v>-0.11</v>
      </c>
      <c r="R109" s="15" t="n">
        <v>0.44</v>
      </c>
      <c r="S109" s="15" t="n">
        <v>0</v>
      </c>
      <c r="T109" s="15" t="n">
        <v>0.33</v>
      </c>
      <c r="U109" s="15" t="n">
        <v>-0.44</v>
      </c>
      <c r="V109" s="15" t="inlineStr">
        <is>
          <t>Room change</t>
        </is>
      </c>
      <c r="W109" s="16" t="inlineStr">
        <is>
          <t>Arrivals in the room: Brandon Aiyuk, Christian Kirk, De'Zhaun Stribling, Mike Evans. Departures: Jauan Jennings.</t>
        </is>
      </c>
      <c r="X109" s="17" t="n"/>
      <c r="Y109" s="18">
        <f>IFS(X109="","",X109="Very undervalued",2, X109="Undervalued",1, X109="Evenly valued",0, X109="Overvalued",-1, X109="Very overvalued",-2,TRUE,"")</f>
        <v/>
      </c>
      <c r="Z109" s="17" t="n"/>
      <c r="AA109" s="17" t="n"/>
      <c r="AB109" s="19" t="n"/>
      <c r="AC109" s="19" t="n"/>
    </row>
    <row r="110">
      <c r="A110" s="15" t="n">
        <v>108</v>
      </c>
      <c r="B110" s="15" t="inlineStr">
        <is>
          <t>Jared Goff</t>
        </is>
      </c>
      <c r="C110" s="15" t="inlineStr">
        <is>
          <t>QB</t>
        </is>
      </c>
      <c r="D110" s="15" t="inlineStr">
        <is>
          <t>DET</t>
        </is>
      </c>
      <c r="E110" s="15" t="n">
        <v>6</v>
      </c>
      <c r="F110" s="15" t="inlineStr"/>
      <c r="G110" s="15" t="n">
        <v>103.6</v>
      </c>
      <c r="H110" s="15" t="n">
        <v>11</v>
      </c>
      <c r="I110" s="15" t="n">
        <v>277</v>
      </c>
      <c r="J110" s="15" t="n">
        <v>215.3</v>
      </c>
      <c r="K110" s="15" t="n">
        <v>13.8</v>
      </c>
      <c r="L110" s="15" t="n">
        <v>101</v>
      </c>
      <c r="M110" s="15" t="n">
        <v>7</v>
      </c>
      <c r="N110" s="15" t="n">
        <v>-0.02</v>
      </c>
      <c r="O110" s="15" t="n">
        <v>0</v>
      </c>
      <c r="P110" s="15" t="n">
        <v>-0.13</v>
      </c>
      <c r="Q110" s="15" t="n">
        <v>-0.07000000000000001</v>
      </c>
      <c r="R110" s="15" t="n">
        <v>0</v>
      </c>
      <c r="S110" s="15" t="n">
        <v>0.18</v>
      </c>
      <c r="T110" s="15" t="n">
        <v>0.18</v>
      </c>
      <c r="U110" s="15" t="n">
        <v>0.13</v>
      </c>
      <c r="V110" s="15" t="inlineStr">
        <is>
          <t>Context</t>
        </is>
      </c>
      <c r="W110" s="16" t="inlineStr">
        <is>
          <t>New play-caller: Drew Petzing.</t>
        </is>
      </c>
      <c r="X110" s="17" t="n"/>
      <c r="Y110" s="18">
        <f>IFS(X110="","",X110="Very undervalued",2, X110="Undervalued",1, X110="Evenly valued",0, X110="Overvalued",-1, X110="Very overvalued",-2,TRUE,"")</f>
        <v/>
      </c>
      <c r="Z110" s="17" t="n"/>
      <c r="AA110" s="17" t="n"/>
      <c r="AB110" s="19" t="n"/>
      <c r="AC110" s="19" t="n"/>
    </row>
    <row r="111">
      <c r="A111" s="15" t="n">
        <v>109</v>
      </c>
      <c r="B111" s="15" t="inlineStr">
        <is>
          <t>Khalil Shakir</t>
        </is>
      </c>
      <c r="C111" s="15" t="inlineStr">
        <is>
          <t>WR</t>
        </is>
      </c>
      <c r="D111" s="15" t="inlineStr">
        <is>
          <t>BUF</t>
        </is>
      </c>
      <c r="E111" s="15" t="n">
        <v>7</v>
      </c>
      <c r="F111" s="15" t="inlineStr"/>
      <c r="G111" s="15" t="n">
        <v>104.7</v>
      </c>
      <c r="H111" s="15" t="n">
        <v>11</v>
      </c>
      <c r="I111" s="15" t="n">
        <v>173.4</v>
      </c>
      <c r="J111" s="15" t="n">
        <v>129</v>
      </c>
      <c r="K111" s="15" t="n">
        <v>13.3</v>
      </c>
      <c r="L111" s="15" t="n">
        <v>133</v>
      </c>
      <c r="M111" s="15" t="n">
        <v>-24</v>
      </c>
      <c r="N111" s="15" t="n">
        <v>0.06</v>
      </c>
      <c r="O111" s="15" t="n">
        <v>0.09</v>
      </c>
      <c r="P111" s="15" t="n">
        <v>-0.34</v>
      </c>
      <c r="Q111" s="15" t="n">
        <v>-0.11</v>
      </c>
      <c r="R111" s="15" t="n">
        <v>-0.17</v>
      </c>
      <c r="S111" s="15" t="n">
        <v>0.06</v>
      </c>
      <c r="T111" s="15" t="n">
        <v>0.19</v>
      </c>
      <c r="U111" s="15" t="n">
        <v>0.15</v>
      </c>
      <c r="V111" s="15" t="inlineStr">
        <is>
          <t>Room change</t>
        </is>
      </c>
      <c r="W111" s="16" t="inlineStr">
        <is>
          <t>Arrivals in the room: DJ Moore.</t>
        </is>
      </c>
      <c r="X111" s="17" t="n"/>
      <c r="Y111" s="18">
        <f>IFS(X111="","",X111="Very undervalued",2, X111="Undervalued",1, X111="Evenly valued",0, X111="Overvalued",-1, X111="Very overvalued",-2,TRUE,"")</f>
        <v/>
      </c>
      <c r="Z111" s="17" t="n"/>
      <c r="AA111" s="17" t="n"/>
      <c r="AB111" s="19" t="n"/>
      <c r="AC111" s="19" t="n"/>
    </row>
    <row r="112">
      <c r="A112" s="15" t="n">
        <v>110</v>
      </c>
      <c r="B112" s="15" t="inlineStr">
        <is>
          <t>Xavier Worthy</t>
        </is>
      </c>
      <c r="C112" s="15" t="inlineStr">
        <is>
          <t>WR</t>
        </is>
      </c>
      <c r="D112" s="15" t="inlineStr">
        <is>
          <t>KC</t>
        </is>
      </c>
      <c r="E112" s="15" t="n">
        <v>5</v>
      </c>
      <c r="F112" s="15" t="inlineStr"/>
      <c r="G112" s="15" t="n">
        <v>104.7</v>
      </c>
      <c r="H112" s="15" t="n">
        <v>11</v>
      </c>
      <c r="I112" s="15" t="n">
        <v>167.4</v>
      </c>
      <c r="J112" s="15" t="n">
        <v>116.8</v>
      </c>
      <c r="K112" s="15" t="n">
        <v>12.7</v>
      </c>
      <c r="L112" s="15" t="n">
        <v>142</v>
      </c>
      <c r="M112" s="15" t="n">
        <v>-32</v>
      </c>
      <c r="N112" s="15" t="n">
        <v>-0.01</v>
      </c>
      <c r="O112" s="15" t="n">
        <v>0.26</v>
      </c>
      <c r="P112" s="15" t="n">
        <v>-0.02</v>
      </c>
      <c r="Q112" s="15" t="n">
        <v>-0.12</v>
      </c>
      <c r="R112" s="15" t="n">
        <v>0.1</v>
      </c>
      <c r="S112" s="15" t="n">
        <v>0</v>
      </c>
      <c r="T112" s="15" t="n">
        <v>0.36</v>
      </c>
      <c r="U112" s="15" t="n">
        <v>0.05</v>
      </c>
      <c r="V112" s="15" t="inlineStr"/>
      <c r="W112" s="16" t="inlineStr"/>
      <c r="X112" s="17" t="n"/>
      <c r="Y112" s="18">
        <f>IFS(X112="","",X112="Very undervalued",2, X112="Undervalued",1, X112="Evenly valued",0, X112="Overvalued",-1, X112="Very overvalued",-2,TRUE,"")</f>
        <v/>
      </c>
      <c r="Z112" s="17" t="n"/>
      <c r="AA112" s="17" t="n"/>
      <c r="AB112" s="19" t="n"/>
      <c r="AC112" s="19" t="n"/>
    </row>
    <row r="113">
      <c r="A113" s="15" t="n">
        <v>111</v>
      </c>
      <c r="B113" s="15" t="inlineStr">
        <is>
          <t>Romeo Doubs</t>
        </is>
      </c>
      <c r="C113" s="15" t="inlineStr">
        <is>
          <t>WR</t>
        </is>
      </c>
      <c r="D113" s="15" t="inlineStr">
        <is>
          <t>NE</t>
        </is>
      </c>
      <c r="E113" s="15" t="n">
        <v>11</v>
      </c>
      <c r="F113" s="15" t="inlineStr"/>
      <c r="G113" s="15" t="n">
        <v>105.9</v>
      </c>
      <c r="H113" s="15" t="n">
        <v>11</v>
      </c>
      <c r="I113" s="15" t="n">
        <v>164.1</v>
      </c>
      <c r="J113" s="15" t="n">
        <v>123.8</v>
      </c>
      <c r="K113" s="15" t="n">
        <v>13.3</v>
      </c>
      <c r="L113" s="15" t="n">
        <v>148</v>
      </c>
      <c r="M113" s="15" t="n">
        <v>-37</v>
      </c>
      <c r="N113" s="15" t="n">
        <v>0.15</v>
      </c>
      <c r="O113" s="15" t="n">
        <v>0</v>
      </c>
      <c r="P113" s="15" t="n">
        <v>-0.2</v>
      </c>
      <c r="Q113" s="15" t="n">
        <v>-0.12</v>
      </c>
      <c r="R113" s="15" t="n">
        <v>-0.02</v>
      </c>
      <c r="S113" s="15" t="n">
        <v>0.06</v>
      </c>
      <c r="T113" s="15" t="n">
        <v>0.31</v>
      </c>
      <c r="U113" s="15" t="n">
        <v>0.15</v>
      </c>
      <c r="V113" s="15" t="inlineStr">
        <is>
          <t>New team</t>
        </is>
      </c>
      <c r="W113" s="16" t="inlineStr">
        <is>
          <t>Moved from GB to NE. Arrivals in the room: A.J. Brown.</t>
        </is>
      </c>
      <c r="X113" s="17" t="n"/>
      <c r="Y113" s="18">
        <f>IFS(X113="","",X113="Very undervalued",2, X113="Undervalued",1, X113="Evenly valued",0, X113="Overvalued",-1, X113="Very overvalued",-2,TRUE,"")</f>
        <v/>
      </c>
      <c r="Z113" s="17" t="n"/>
      <c r="AA113" s="17" t="n"/>
      <c r="AB113" s="19" t="n"/>
      <c r="AC113" s="19" t="n"/>
    </row>
    <row r="114">
      <c r="A114" s="15" t="n">
        <v>112</v>
      </c>
      <c r="B114" s="15" t="inlineStr">
        <is>
          <t>Houston Defense</t>
        </is>
      </c>
      <c r="C114" s="15" t="inlineStr">
        <is>
          <t>DEF</t>
        </is>
      </c>
      <c r="D114" s="15" t="inlineStr">
        <is>
          <t>HOU</t>
        </is>
      </c>
      <c r="E114" s="15" t="n"/>
      <c r="F114" s="15" t="inlineStr"/>
      <c r="G114" s="15" t="n">
        <v>107</v>
      </c>
      <c r="H114" s="15" t="n">
        <v>11</v>
      </c>
      <c r="I114" s="15" t="n"/>
      <c r="J114" s="15" t="n"/>
      <c r="K114" s="15" t="n"/>
      <c r="L114" s="15" t="n"/>
      <c r="M114" s="15" t="n"/>
      <c r="N114" s="15" t="n"/>
      <c r="O114" s="15" t="n"/>
      <c r="P114" s="15" t="n"/>
      <c r="Q114" s="15" t="n"/>
      <c r="R114" s="15" t="n"/>
      <c r="S114" s="15" t="n"/>
      <c r="T114" s="15" t="n"/>
      <c r="U114" s="15" t="n"/>
      <c r="V114" s="15" t="inlineStr"/>
      <c r="W114" s="16" t="inlineStr"/>
      <c r="X114" s="17" t="n"/>
      <c r="Y114" s="18">
        <f>IFS(X114="","",X114="Very undervalued",2, X114="Undervalued",1, X114="Evenly valued",0, X114="Overvalued",-1, X114="Very overvalued",-2,TRUE,"")</f>
        <v/>
      </c>
      <c r="Z114" s="17" t="n"/>
      <c r="AA114" s="17" t="n"/>
      <c r="AB114" s="19" t="n"/>
      <c r="AC114" s="19" t="n"/>
    </row>
    <row r="115">
      <c r="A115" s="15" t="n">
        <v>113</v>
      </c>
      <c r="B115" s="15" t="inlineStr">
        <is>
          <t>Jaxson Dart</t>
        </is>
      </c>
      <c r="C115" s="15" t="inlineStr">
        <is>
          <t>QB</t>
        </is>
      </c>
      <c r="D115" s="15" t="inlineStr">
        <is>
          <t>NYG</t>
        </is>
      </c>
      <c r="E115" s="15" t="n">
        <v>8</v>
      </c>
      <c r="F115" s="15" t="inlineStr">
        <is>
          <t>Yes</t>
        </is>
      </c>
      <c r="G115" s="15" t="n">
        <v>107.6</v>
      </c>
      <c r="H115" s="15" t="n">
        <v>11</v>
      </c>
      <c r="I115" s="15" t="n">
        <v>300</v>
      </c>
      <c r="J115" s="15" t="n">
        <v>232.7</v>
      </c>
      <c r="K115" s="15" t="n">
        <v>13.3</v>
      </c>
      <c r="L115" s="15" t="n">
        <v>60</v>
      </c>
      <c r="M115" s="15" t="n">
        <v>53</v>
      </c>
      <c r="N115" s="15" t="n">
        <v>0.45</v>
      </c>
      <c r="O115" s="15" t="n">
        <v>0.28</v>
      </c>
      <c r="P115" s="15" t="n">
        <v>-0.4</v>
      </c>
      <c r="Q115" s="15" t="n">
        <v>0.4</v>
      </c>
      <c r="R115" s="15" t="n">
        <v>-0.4</v>
      </c>
      <c r="S115" s="15" t="n">
        <v>0.29</v>
      </c>
      <c r="T115" s="15" t="n">
        <v>0.21</v>
      </c>
      <c r="U115" s="15" t="n">
        <v>-0.07000000000000001</v>
      </c>
      <c r="V115" s="15" t="inlineStr">
        <is>
          <t>Room change</t>
        </is>
      </c>
      <c r="W115" s="16" t="inlineStr">
        <is>
          <t>New play-caller: Matt Nagy. Departures: Russell Wilson.</t>
        </is>
      </c>
      <c r="X115" s="17" t="n"/>
      <c r="Y115" s="18">
        <f>IFS(X115="","",X115="Very undervalued",2, X115="Undervalued",1, X115="Evenly valued",0, X115="Overvalued",-1, X115="Very overvalued",-2,TRUE,"")</f>
        <v/>
      </c>
      <c r="Z115" s="17" t="n"/>
      <c r="AA115" s="17" t="n"/>
      <c r="AB115" s="19" t="n"/>
      <c r="AC115" s="19" t="n"/>
    </row>
    <row r="116">
      <c r="A116" s="15" t="n">
        <v>114</v>
      </c>
      <c r="B116" s="15" t="inlineStr">
        <is>
          <t>Tucker Kraft</t>
        </is>
      </c>
      <c r="C116" s="15" t="inlineStr">
        <is>
          <t>TE</t>
        </is>
      </c>
      <c r="D116" s="15" t="inlineStr">
        <is>
          <t>GB</t>
        </is>
      </c>
      <c r="E116" s="15" t="n">
        <v>11</v>
      </c>
      <c r="F116" s="15" t="inlineStr"/>
      <c r="G116" s="15" t="n">
        <v>107.7</v>
      </c>
      <c r="H116" s="15" t="n">
        <v>11</v>
      </c>
      <c r="I116" s="15" t="n">
        <v>168.5</v>
      </c>
      <c r="J116" s="15" t="n">
        <v>90.90000000000001</v>
      </c>
      <c r="K116" s="15" t="n">
        <v>8.800000000000001</v>
      </c>
      <c r="L116" s="15" t="n">
        <v>70</v>
      </c>
      <c r="M116" s="15" t="n">
        <v>44</v>
      </c>
      <c r="N116" s="15" t="n">
        <v>0.45</v>
      </c>
      <c r="O116" s="15" t="n">
        <v>0.44</v>
      </c>
      <c r="P116" s="15" t="n">
        <v>0.31</v>
      </c>
      <c r="Q116" s="15" t="n">
        <v>-0.23</v>
      </c>
      <c r="R116" s="15" t="n">
        <v>0.23</v>
      </c>
      <c r="S116" s="15" t="n">
        <v>0.38</v>
      </c>
      <c r="T116" s="15" t="n">
        <v>0.12</v>
      </c>
      <c r="U116" s="15" t="n">
        <v>-0.46</v>
      </c>
      <c r="V116" s="15" t="inlineStr"/>
      <c r="W116" s="16" t="inlineStr"/>
      <c r="X116" s="17" t="n"/>
      <c r="Y116" s="18">
        <f>IFS(X116="","",X116="Very undervalued",2, X116="Undervalued",1, X116="Evenly valued",0, X116="Overvalued",-1, X116="Very overvalued",-2,TRUE,"")</f>
        <v/>
      </c>
      <c r="Z116" s="17" t="n"/>
      <c r="AA116" s="17" t="n"/>
      <c r="AB116" s="19" t="n"/>
      <c r="AC116" s="19" t="n"/>
    </row>
    <row r="117">
      <c r="A117" s="15" t="n">
        <v>115</v>
      </c>
      <c r="B117" s="15" t="inlineStr">
        <is>
          <t>George Kittle</t>
        </is>
      </c>
      <c r="C117" s="15" t="inlineStr">
        <is>
          <t>TE</t>
        </is>
      </c>
      <c r="D117" s="15" t="inlineStr">
        <is>
          <t>SF</t>
        </is>
      </c>
      <c r="E117" s="15" t="n">
        <v>8</v>
      </c>
      <c r="F117" s="15" t="inlineStr"/>
      <c r="G117" s="15" t="n">
        <v>108.5</v>
      </c>
      <c r="H117" s="15" t="n">
        <v>11</v>
      </c>
      <c r="I117" s="15" t="n">
        <v>167.3</v>
      </c>
      <c r="J117" s="15" t="n">
        <v>100.9</v>
      </c>
      <c r="K117" s="15" t="n">
        <v>9.800000000000001</v>
      </c>
      <c r="L117" s="15" t="n">
        <v>79</v>
      </c>
      <c r="M117" s="15" t="n">
        <v>36</v>
      </c>
      <c r="N117" s="15" t="n">
        <v>0.39</v>
      </c>
      <c r="O117" s="15" t="n">
        <v>0.45</v>
      </c>
      <c r="P117" s="15" t="n">
        <v>0.15</v>
      </c>
      <c r="Q117" s="15" t="n">
        <v>0</v>
      </c>
      <c r="R117" s="15" t="n">
        <v>0</v>
      </c>
      <c r="S117" s="15" t="n">
        <v>0.36</v>
      </c>
      <c r="T117" s="15" t="n">
        <v>0.09</v>
      </c>
      <c r="U117" s="15" t="n">
        <v>-0.31</v>
      </c>
      <c r="V117" s="15" t="inlineStr"/>
      <c r="W117" s="16" t="inlineStr"/>
      <c r="X117" s="17" t="n"/>
      <c r="Y117" s="18">
        <f>IFS(X117="","",X117="Very undervalued",2, X117="Undervalued",1, X117="Evenly valued",0, X117="Overvalued",-1, X117="Very overvalued",-2,TRUE,"")</f>
        <v/>
      </c>
      <c r="Z117" s="17" t="n"/>
      <c r="AA117" s="17" t="n"/>
      <c r="AB117" s="19" t="n"/>
      <c r="AC117" s="19" t="n"/>
    </row>
    <row r="118">
      <c r="A118" s="15" t="n">
        <v>116</v>
      </c>
      <c r="B118" s="15" t="inlineStr">
        <is>
          <t>MarShawn Lloyd</t>
        </is>
      </c>
      <c r="C118" s="15" t="inlineStr">
        <is>
          <t>RB</t>
        </is>
      </c>
      <c r="D118" s="15" t="inlineStr">
        <is>
          <t>GB</t>
        </is>
      </c>
      <c r="E118" s="15" t="n">
        <v>11</v>
      </c>
      <c r="F118" s="15" t="inlineStr"/>
      <c r="G118" s="15" t="n">
        <v>114.1</v>
      </c>
      <c r="H118" s="15" t="n">
        <v>12</v>
      </c>
      <c r="I118" s="15" t="n">
        <v>42.9</v>
      </c>
      <c r="J118" s="15" t="n">
        <v>30</v>
      </c>
      <c r="K118" s="15" t="n">
        <v>11.4</v>
      </c>
      <c r="L118" s="15" t="n">
        <v>350</v>
      </c>
      <c r="M118" s="15" t="n">
        <v>-234</v>
      </c>
      <c r="N118" s="15" t="n"/>
      <c r="O118" s="15" t="n"/>
      <c r="P118" s="15" t="n">
        <v>-0.26</v>
      </c>
      <c r="Q118" s="15" t="n">
        <v>0.29</v>
      </c>
      <c r="R118" s="15" t="n">
        <v>-0.29</v>
      </c>
      <c r="S118" s="15" t="n"/>
      <c r="T118" s="15" t="n"/>
      <c r="U118" s="15" t="n">
        <v>-0.24</v>
      </c>
      <c r="V118" s="15" t="inlineStr">
        <is>
          <t>Rookie/new to league</t>
        </is>
      </c>
      <c r="W118" s="16" t="inlineStr"/>
      <c r="X118" s="17" t="n"/>
      <c r="Y118" s="18">
        <f>IFS(X118="","",X118="Very undervalued",2, X118="Undervalued",1, X118="Evenly valued",0, X118="Overvalued",-1, X118="Very overvalued",-2,TRUE,"")</f>
        <v/>
      </c>
      <c r="Z118" s="17" t="n"/>
      <c r="AA118" s="17" t="n"/>
      <c r="AB118" s="19" t="n"/>
      <c r="AC118" s="19" t="n"/>
    </row>
    <row r="119">
      <c r="A119" s="15" t="n">
        <v>117</v>
      </c>
      <c r="B119" s="15" t="inlineStr">
        <is>
          <t>John Metchie III</t>
        </is>
      </c>
      <c r="C119" s="15" t="inlineStr">
        <is>
          <t>WR</t>
        </is>
      </c>
      <c r="D119" s="15" t="inlineStr">
        <is>
          <t>CAR</t>
        </is>
      </c>
      <c r="E119" s="15" t="n">
        <v>5</v>
      </c>
      <c r="F119" s="15" t="inlineStr"/>
      <c r="G119" s="15" t="n">
        <v>116.1</v>
      </c>
      <c r="H119" s="15" t="n">
        <v>12</v>
      </c>
      <c r="I119" s="15" t="n">
        <v>162.3</v>
      </c>
      <c r="J119" s="15" t="n">
        <v>110.1</v>
      </c>
      <c r="K119" s="15" t="n">
        <v>11.9</v>
      </c>
      <c r="L119" s="15" t="n">
        <v>149</v>
      </c>
      <c r="M119" s="15" t="n">
        <v>-32</v>
      </c>
      <c r="N119" s="15" t="n">
        <v>0.08</v>
      </c>
      <c r="O119" s="15" t="n">
        <v>0.11</v>
      </c>
      <c r="P119" s="15" t="n">
        <v>0.34</v>
      </c>
      <c r="Q119" s="15" t="n">
        <v>-0.12</v>
      </c>
      <c r="R119" s="15" t="n">
        <v>0.34</v>
      </c>
      <c r="S119" s="15" t="n">
        <v>0</v>
      </c>
      <c r="T119" s="15" t="n">
        <v>0.62</v>
      </c>
      <c r="U119" s="15" t="n">
        <v>-0.1</v>
      </c>
      <c r="V119" s="15" t="inlineStr">
        <is>
          <t>New team</t>
        </is>
      </c>
      <c r="W119" s="16" t="inlineStr">
        <is>
          <t>Moved from NYJ to CAR.</t>
        </is>
      </c>
      <c r="X119" s="17" t="n"/>
      <c r="Y119" s="18">
        <f>IFS(X119="","",X119="Very undervalued",2, X119="Undervalued",1, X119="Evenly valued",0, X119="Overvalued",-1, X119="Very overvalued",-2,TRUE,"")</f>
        <v/>
      </c>
      <c r="Z119" s="17" t="n"/>
      <c r="AA119" s="17" t="n"/>
      <c r="AB119" s="19" t="n"/>
      <c r="AC119" s="19" t="n"/>
    </row>
    <row r="120">
      <c r="A120" s="15" t="n">
        <v>118</v>
      </c>
      <c r="B120" s="15" t="inlineStr">
        <is>
          <t>Jacory Croskey-Merritt</t>
        </is>
      </c>
      <c r="C120" s="15" t="inlineStr">
        <is>
          <t>RB</t>
        </is>
      </c>
      <c r="D120" s="15" t="inlineStr">
        <is>
          <t>WAS</t>
        </is>
      </c>
      <c r="E120" s="15" t="n">
        <v>7</v>
      </c>
      <c r="F120" s="15" t="inlineStr"/>
      <c r="G120" s="15" t="n">
        <v>117.1</v>
      </c>
      <c r="H120" s="15" t="n">
        <v>12</v>
      </c>
      <c r="I120" s="15" t="n">
        <v>144.1</v>
      </c>
      <c r="J120" s="15" t="n">
        <v>99.7</v>
      </c>
      <c r="K120" s="15" t="n">
        <v>13.4</v>
      </c>
      <c r="L120" s="15" t="n">
        <v>157</v>
      </c>
      <c r="M120" s="15" t="n">
        <v>-39</v>
      </c>
      <c r="N120" s="15" t="n">
        <v>0.23</v>
      </c>
      <c r="O120" s="15" t="n">
        <v>0.04</v>
      </c>
      <c r="P120" s="15" t="n">
        <v>-0.26</v>
      </c>
      <c r="Q120" s="15" t="n">
        <v>-0.13</v>
      </c>
      <c r="R120" s="15" t="n">
        <v>-0.26</v>
      </c>
      <c r="S120" s="15" t="n">
        <v>0.12</v>
      </c>
      <c r="T120" s="15" t="n">
        <v>0.59</v>
      </c>
      <c r="U120" s="15" t="n">
        <v>0.42</v>
      </c>
      <c r="V120" s="15" t="inlineStr">
        <is>
          <t>Room change</t>
        </is>
      </c>
      <c r="W120" s="16" t="inlineStr">
        <is>
          <t>New play-caller: David Blough. New starting QB: Jayden Daniels. Arrivals in the room: Rachaad White. Departures: Chris Rodriguez Jr..</t>
        </is>
      </c>
      <c r="X120" s="17" t="n"/>
      <c r="Y120" s="18">
        <f>IFS(X120="","",X120="Very undervalued",2, X120="Undervalued",1, X120="Evenly valued",0, X120="Overvalued",-1, X120="Very overvalued",-2,TRUE,"")</f>
        <v/>
      </c>
      <c r="Z120" s="17" t="n"/>
      <c r="AA120" s="17" t="n"/>
      <c r="AB120" s="19" t="n"/>
      <c r="AC120" s="19" t="n"/>
    </row>
    <row r="121">
      <c r="A121" s="15" t="n">
        <v>119</v>
      </c>
      <c r="B121" s="15" t="inlineStr">
        <is>
          <t>Blake Corum</t>
        </is>
      </c>
      <c r="C121" s="15" t="inlineStr">
        <is>
          <t>RB</t>
        </is>
      </c>
      <c r="D121" s="15" t="inlineStr">
        <is>
          <t>LAR</t>
        </is>
      </c>
      <c r="E121" s="15" t="n">
        <v>11</v>
      </c>
      <c r="F121" s="15" t="inlineStr"/>
      <c r="G121" s="15" t="n">
        <v>117.5</v>
      </c>
      <c r="H121" s="15" t="n">
        <v>12</v>
      </c>
      <c r="I121" s="15" t="n">
        <v>133.9</v>
      </c>
      <c r="J121" s="15" t="n">
        <v>94.59999999999999</v>
      </c>
      <c r="K121" s="15" t="n">
        <v>13.3</v>
      </c>
      <c r="L121" s="15" t="n">
        <v>167</v>
      </c>
      <c r="M121" s="15" t="n">
        <v>-48</v>
      </c>
      <c r="N121" s="15" t="n">
        <v>0.15</v>
      </c>
      <c r="O121" s="15" t="n">
        <v>0.03</v>
      </c>
      <c r="P121" s="15" t="n">
        <v>-0.13</v>
      </c>
      <c r="Q121" s="15" t="n">
        <v>-0.11</v>
      </c>
      <c r="R121" s="15" t="n">
        <v>-0.13</v>
      </c>
      <c r="S121" s="15" t="n">
        <v>0.06</v>
      </c>
      <c r="T121" s="15" t="n">
        <v>0.65</v>
      </c>
      <c r="U121" s="15" t="n">
        <v>0.39</v>
      </c>
      <c r="V121" s="15" t="inlineStr"/>
      <c r="W121" s="16" t="inlineStr"/>
      <c r="X121" s="17" t="n"/>
      <c r="Y121" s="18">
        <f>IFS(X121="","",X121="Very undervalued",2, X121="Undervalued",1, X121="Evenly valued",0, X121="Overvalued",-1, X121="Very overvalued",-2,TRUE,"")</f>
        <v/>
      </c>
      <c r="Z121" s="17" t="n"/>
      <c r="AA121" s="17" t="n"/>
      <c r="AB121" s="19" t="n"/>
      <c r="AC121" s="19" t="n"/>
    </row>
    <row r="122">
      <c r="A122" s="15" t="n">
        <v>120</v>
      </c>
      <c r="B122" s="15" t="inlineStr">
        <is>
          <t>Dallas Goedert</t>
        </is>
      </c>
      <c r="C122" s="15" t="inlineStr">
        <is>
          <t>TE</t>
        </is>
      </c>
      <c r="D122" s="15" t="inlineStr">
        <is>
          <t>PHI</t>
        </is>
      </c>
      <c r="E122" s="15" t="n">
        <v>10</v>
      </c>
      <c r="F122" s="15" t="inlineStr"/>
      <c r="G122" s="15" t="n">
        <v>118.4</v>
      </c>
      <c r="H122" s="15" t="n">
        <v>12</v>
      </c>
      <c r="I122" s="15" t="n">
        <v>179</v>
      </c>
      <c r="J122" s="15" t="n">
        <v>132.1</v>
      </c>
      <c r="K122" s="15" t="n">
        <v>12.2</v>
      </c>
      <c r="L122" s="15" t="n">
        <v>58</v>
      </c>
      <c r="M122" s="15" t="n">
        <v>62</v>
      </c>
      <c r="N122" s="15" t="n">
        <v>0.53</v>
      </c>
      <c r="O122" s="15" t="n">
        <v>0.14</v>
      </c>
      <c r="P122" s="15" t="n">
        <v>-0.15</v>
      </c>
      <c r="Q122" s="15" t="n">
        <v>0.15</v>
      </c>
      <c r="R122" s="15" t="n">
        <v>-0.15</v>
      </c>
      <c r="S122" s="15" t="n">
        <v>0.33</v>
      </c>
      <c r="T122" s="15" t="n">
        <v>0.07000000000000001</v>
      </c>
      <c r="U122" s="15" t="n">
        <v>0</v>
      </c>
      <c r="V122" s="15" t="inlineStr">
        <is>
          <t>Context</t>
        </is>
      </c>
      <c r="W122" s="16" t="inlineStr">
        <is>
          <t>New play-caller: Sean Mannion.</t>
        </is>
      </c>
      <c r="X122" s="17" t="n"/>
      <c r="Y122" s="18">
        <f>IFS(X122="","",X122="Very undervalued",2, X122="Undervalued",1, X122="Evenly valued",0, X122="Overvalued",-1, X122="Very overvalued",-2,TRUE,"")</f>
        <v/>
      </c>
      <c r="Z122" s="17" t="n"/>
      <c r="AA122" s="17" t="n"/>
      <c r="AB122" s="19" t="n"/>
      <c r="AC122" s="19" t="n"/>
    </row>
    <row r="123">
      <c r="A123" s="15" t="n">
        <v>121</v>
      </c>
      <c r="B123" s="15" t="inlineStr">
        <is>
          <t>Matthew Golden</t>
        </is>
      </c>
      <c r="C123" s="15" t="inlineStr">
        <is>
          <t>WR</t>
        </is>
      </c>
      <c r="D123" s="15" t="inlineStr">
        <is>
          <t>GB</t>
        </is>
      </c>
      <c r="E123" s="15" t="n">
        <v>11</v>
      </c>
      <c r="F123" s="15" t="inlineStr"/>
      <c r="G123" s="15" t="n">
        <v>119</v>
      </c>
      <c r="H123" s="15" t="n">
        <v>12</v>
      </c>
      <c r="I123" s="15" t="n">
        <v>155.8</v>
      </c>
      <c r="J123" s="15" t="n">
        <v>113.4</v>
      </c>
      <c r="K123" s="15" t="n">
        <v>12.7</v>
      </c>
      <c r="L123" s="15" t="n">
        <v>153</v>
      </c>
      <c r="M123" s="15" t="n">
        <v>-32</v>
      </c>
      <c r="N123" s="15" t="n">
        <v>-0.05</v>
      </c>
      <c r="O123" s="15" t="n">
        <v>0.19</v>
      </c>
      <c r="P123" s="15" t="n">
        <v>0</v>
      </c>
      <c r="Q123" s="15" t="n">
        <v>-0.12</v>
      </c>
      <c r="R123" s="15" t="n">
        <v>0.12</v>
      </c>
      <c r="S123" s="15" t="n">
        <v>0</v>
      </c>
      <c r="T123" s="15" t="n">
        <v>0.64</v>
      </c>
      <c r="U123" s="15" t="n">
        <v>0.1</v>
      </c>
      <c r="V123" s="15" t="inlineStr">
        <is>
          <t>Room change</t>
        </is>
      </c>
      <c r="W123" s="16" t="inlineStr">
        <is>
          <t>Departures: Dontayvion Wicks, Romeo Doubs.</t>
        </is>
      </c>
      <c r="X123" s="17" t="n"/>
      <c r="Y123" s="18">
        <f>IFS(X123="","",X123="Very undervalued",2, X123="Undervalued",1, X123="Evenly valued",0, X123="Overvalued",-1, X123="Very overvalued",-2,TRUE,"")</f>
        <v/>
      </c>
      <c r="Z123" s="17" t="n"/>
      <c r="AA123" s="17" t="n"/>
      <c r="AB123" s="19" t="n"/>
      <c r="AC123" s="19" t="n"/>
    </row>
    <row r="124">
      <c r="A124" s="15" t="n">
        <v>122</v>
      </c>
      <c r="B124" s="15" t="inlineStr">
        <is>
          <t>Jordan Mason</t>
        </is>
      </c>
      <c r="C124" s="15" t="inlineStr">
        <is>
          <t>RB</t>
        </is>
      </c>
      <c r="D124" s="15" t="inlineStr">
        <is>
          <t>MIN</t>
        </is>
      </c>
      <c r="E124" s="15" t="n">
        <v>6</v>
      </c>
      <c r="F124" s="15" t="inlineStr"/>
      <c r="G124" s="15" t="n">
        <v>120.2</v>
      </c>
      <c r="H124" s="15" t="n">
        <v>13</v>
      </c>
      <c r="I124" s="15" t="n">
        <v>132.2</v>
      </c>
      <c r="J124" s="15" t="n">
        <v>85.59999999999999</v>
      </c>
      <c r="K124" s="15" t="n">
        <v>12.7</v>
      </c>
      <c r="L124" s="15" t="n">
        <v>172</v>
      </c>
      <c r="M124" s="15" t="n">
        <v>-50</v>
      </c>
      <c r="N124" s="15" t="n">
        <v>0.14</v>
      </c>
      <c r="O124" s="15" t="n">
        <v>0.09</v>
      </c>
      <c r="P124" s="15" t="n">
        <v>0.19</v>
      </c>
      <c r="Q124" s="15" t="n">
        <v>-0.11</v>
      </c>
      <c r="R124" s="15" t="n">
        <v>0.19</v>
      </c>
      <c r="S124" s="15" t="n">
        <v>0.06</v>
      </c>
      <c r="T124" s="15" t="n">
        <v>0.5</v>
      </c>
      <c r="U124" s="15" t="n">
        <v>0.1</v>
      </c>
      <c r="V124" s="15" t="inlineStr">
        <is>
          <t>Context</t>
        </is>
      </c>
      <c r="W124" s="16" t="inlineStr">
        <is>
          <t>New starting QB: Kyler Murray.</t>
        </is>
      </c>
      <c r="X124" s="17" t="n"/>
      <c r="Y124" s="18">
        <f>IFS(X124="","",X124="Very undervalued",2, X124="Undervalued",1, X124="Evenly valued",0, X124="Overvalued",-1, X124="Very overvalued",-2,TRUE,"")</f>
        <v/>
      </c>
      <c r="Z124" s="17" t="n"/>
      <c r="AA124" s="17" t="n"/>
      <c r="AB124" s="19" t="n"/>
      <c r="AC124" s="19" t="n"/>
    </row>
    <row r="125">
      <c r="A125" s="15" t="n">
        <v>123</v>
      </c>
      <c r="B125" s="15" t="inlineStr">
        <is>
          <t>Bo Nix</t>
        </is>
      </c>
      <c r="C125" s="15" t="inlineStr">
        <is>
          <t>QB</t>
        </is>
      </c>
      <c r="D125" s="15" t="inlineStr">
        <is>
          <t>DEN</t>
        </is>
      </c>
      <c r="E125" s="15" t="n">
        <v>10</v>
      </c>
      <c r="F125" s="15" t="inlineStr"/>
      <c r="G125" s="15" t="n">
        <v>120.6</v>
      </c>
      <c r="H125" s="15" t="n">
        <v>13</v>
      </c>
      <c r="I125" s="15" t="n">
        <v>286.6</v>
      </c>
      <c r="J125" s="15" t="n">
        <v>229.7</v>
      </c>
      <c r="K125" s="15" t="n">
        <v>14.2</v>
      </c>
      <c r="L125" s="15" t="n">
        <v>88</v>
      </c>
      <c r="M125" s="15" t="n">
        <v>35</v>
      </c>
      <c r="N125" s="15" t="n">
        <v>0.16</v>
      </c>
      <c r="O125" s="15" t="n">
        <v>0.02</v>
      </c>
      <c r="P125" s="15" t="n">
        <v>-0.07000000000000001</v>
      </c>
      <c r="Q125" s="15" t="n">
        <v>0.33</v>
      </c>
      <c r="R125" s="15" t="n">
        <v>-0.33</v>
      </c>
      <c r="S125" s="15" t="n">
        <v>0.18</v>
      </c>
      <c r="T125" s="15" t="n">
        <v>0.18</v>
      </c>
      <c r="U125" s="15" t="n">
        <v>0.4</v>
      </c>
      <c r="V125" s="15" t="inlineStr">
        <is>
          <t>Context</t>
        </is>
      </c>
      <c r="W125" s="16" t="inlineStr">
        <is>
          <t>New play-caller: Davis Webb.</t>
        </is>
      </c>
      <c r="X125" s="17" t="n"/>
      <c r="Y125" s="18">
        <f>IFS(X125="","",X125="Very undervalued",2, X125="Undervalued",1, X125="Evenly valued",0, X125="Overvalued",-1, X125="Very overvalued",-2,TRUE,"")</f>
        <v/>
      </c>
      <c r="Z125" s="17" t="n"/>
      <c r="AA125" s="17" t="n"/>
      <c r="AB125" s="19" t="n"/>
      <c r="AC125" s="19" t="n"/>
    </row>
    <row r="126">
      <c r="A126" s="15" t="n">
        <v>124</v>
      </c>
      <c r="B126" s="15" t="inlineStr">
        <is>
          <t>Tyjae Spears</t>
        </is>
      </c>
      <c r="C126" s="15" t="inlineStr">
        <is>
          <t>RB</t>
        </is>
      </c>
      <c r="D126" s="15" t="inlineStr">
        <is>
          <t>TEN</t>
        </is>
      </c>
      <c r="E126" s="15" t="n">
        <v>9</v>
      </c>
      <c r="F126" s="15" t="inlineStr"/>
      <c r="G126" s="15" t="n">
        <v>121.4</v>
      </c>
      <c r="H126" s="15" t="n">
        <v>13</v>
      </c>
      <c r="I126" s="15" t="n">
        <v>136.4</v>
      </c>
      <c r="J126" s="15" t="n">
        <v>81.59999999999999</v>
      </c>
      <c r="K126" s="15" t="n">
        <v>11.4</v>
      </c>
      <c r="L126" s="15" t="n">
        <v>163</v>
      </c>
      <c r="M126" s="15" t="n">
        <v>-39</v>
      </c>
      <c r="N126" s="15" t="n">
        <v>-0.05</v>
      </c>
      <c r="O126" s="15" t="n">
        <v>0.05</v>
      </c>
      <c r="P126" s="15" t="n">
        <v>0.13</v>
      </c>
      <c r="Q126" s="15" t="n">
        <v>-0.11</v>
      </c>
      <c r="R126" s="15" t="n">
        <v>0.13</v>
      </c>
      <c r="S126" s="15" t="n">
        <v>0.08</v>
      </c>
      <c r="T126" s="15" t="n">
        <v>0.23</v>
      </c>
      <c r="U126" s="15" t="n">
        <v>-0.06</v>
      </c>
      <c r="V126" s="15" t="inlineStr">
        <is>
          <t>Context</t>
        </is>
      </c>
      <c r="W126" s="16" t="inlineStr">
        <is>
          <t>New play-caller: Brian Daboll.</t>
        </is>
      </c>
      <c r="X126" s="17" t="n"/>
      <c r="Y126" s="18">
        <f>IFS(X126="","",X126="Very undervalued",2, X126="Undervalued",1, X126="Evenly valued",0, X126="Overvalued",-1, X126="Very overvalued",-2,TRUE,"")</f>
        <v/>
      </c>
      <c r="Z126" s="17" t="n"/>
      <c r="AA126" s="17" t="n"/>
      <c r="AB126" s="19" t="n"/>
      <c r="AC126" s="19" t="n"/>
    </row>
    <row r="127">
      <c r="A127" s="15" t="n">
        <v>125</v>
      </c>
      <c r="B127" s="15" t="inlineStr">
        <is>
          <t>Jonathon Brooks</t>
        </is>
      </c>
      <c r="C127" s="15" t="inlineStr">
        <is>
          <t>RB</t>
        </is>
      </c>
      <c r="D127" s="15" t="inlineStr">
        <is>
          <t>CAR</t>
        </is>
      </c>
      <c r="E127" s="15" t="n">
        <v>5</v>
      </c>
      <c r="F127" s="15" t="inlineStr"/>
      <c r="G127" s="15" t="n">
        <v>122.8</v>
      </c>
      <c r="H127" s="15" t="n">
        <v>13</v>
      </c>
      <c r="I127" s="15" t="n">
        <v>134</v>
      </c>
      <c r="J127" s="15" t="n">
        <v>93.59999999999999</v>
      </c>
      <c r="K127" s="15" t="n">
        <v>11.4</v>
      </c>
      <c r="L127" s="15" t="n">
        <v>166</v>
      </c>
      <c r="M127" s="15" t="n">
        <v>-41</v>
      </c>
      <c r="N127" s="15" t="n"/>
      <c r="O127" s="15" t="n"/>
      <c r="P127" s="15" t="n">
        <v>-0.45</v>
      </c>
      <c r="Q127" s="15" t="n">
        <v>0.42</v>
      </c>
      <c r="R127" s="15" t="n">
        <v>-0.45</v>
      </c>
      <c r="S127" s="15" t="n"/>
      <c r="T127" s="15" t="n"/>
      <c r="U127" s="15" t="n">
        <v>-0.15</v>
      </c>
      <c r="V127" s="15" t="inlineStr">
        <is>
          <t>Rookie/new to league</t>
        </is>
      </c>
      <c r="W127" s="16" t="inlineStr">
        <is>
          <t>Departures: Rico Dowdle.</t>
        </is>
      </c>
      <c r="X127" s="17" t="n"/>
      <c r="Y127" s="18">
        <f>IFS(X127="","",X127="Very undervalued",2, X127="Undervalued",1, X127="Evenly valued",0, X127="Overvalued",-1, X127="Very overvalued",-2,TRUE,"")</f>
        <v/>
      </c>
      <c r="Z127" s="17" t="n"/>
      <c r="AA127" s="17" t="n"/>
      <c r="AB127" s="19" t="n"/>
      <c r="AC127" s="19" t="n"/>
    </row>
    <row r="128">
      <c r="A128" s="15" t="n">
        <v>126</v>
      </c>
      <c r="B128" s="15" t="inlineStr">
        <is>
          <t>Rashid Shaheed</t>
        </is>
      </c>
      <c r="C128" s="15" t="inlineStr">
        <is>
          <t>WR</t>
        </is>
      </c>
      <c r="D128" s="15" t="inlineStr">
        <is>
          <t>SEA</t>
        </is>
      </c>
      <c r="E128" s="15" t="n">
        <v>11</v>
      </c>
      <c r="F128" s="15" t="inlineStr"/>
      <c r="G128" s="15" t="n">
        <v>123.2</v>
      </c>
      <c r="H128" s="15" t="n">
        <v>13</v>
      </c>
      <c r="I128" s="15" t="n">
        <v>144</v>
      </c>
      <c r="J128" s="15" t="n">
        <v>116.6</v>
      </c>
      <c r="K128" s="15" t="n">
        <v>13.6</v>
      </c>
      <c r="L128" s="15" t="n">
        <v>164</v>
      </c>
      <c r="M128" s="15" t="n">
        <v>-38</v>
      </c>
      <c r="N128" s="15" t="n">
        <v>0</v>
      </c>
      <c r="O128" s="15" t="n">
        <v>0.06</v>
      </c>
      <c r="P128" s="15" t="n">
        <v>-0.27</v>
      </c>
      <c r="Q128" s="15" t="n">
        <v>-0.13</v>
      </c>
      <c r="R128" s="15" t="n">
        <v>-0.07000000000000001</v>
      </c>
      <c r="S128" s="15" t="n">
        <v>0.06</v>
      </c>
      <c r="T128" s="15" t="n">
        <v>0.33</v>
      </c>
      <c r="U128" s="15" t="n">
        <v>0.34</v>
      </c>
      <c r="V128" s="15" t="inlineStr">
        <is>
          <t>Context</t>
        </is>
      </c>
      <c r="W128" s="16" t="inlineStr">
        <is>
          <t>New play-caller: Brian Fleury.</t>
        </is>
      </c>
      <c r="X128" s="17" t="n"/>
      <c r="Y128" s="18">
        <f>IFS(X128="","",X128="Very undervalued",2, X128="Undervalued",1, X128="Evenly valued",0, X128="Overvalued",-1, X128="Very overvalued",-2,TRUE,"")</f>
        <v/>
      </c>
      <c r="Z128" s="17" t="n"/>
      <c r="AA128" s="17" t="n"/>
      <c r="AB128" s="19" t="n"/>
      <c r="AC128" s="19" t="n"/>
    </row>
    <row r="129">
      <c r="A129" s="15" t="n">
        <v>127</v>
      </c>
      <c r="B129" s="15" t="inlineStr">
        <is>
          <t>KC Concepcion</t>
        </is>
      </c>
      <c r="C129" s="15" t="inlineStr">
        <is>
          <t>WR</t>
        </is>
      </c>
      <c r="D129" s="15" t="inlineStr">
        <is>
          <t>CLE</t>
        </is>
      </c>
      <c r="E129" s="15" t="n">
        <v>11</v>
      </c>
      <c r="F129" s="15" t="inlineStr">
        <is>
          <t>Yes</t>
        </is>
      </c>
      <c r="G129" s="15" t="n">
        <v>125.2</v>
      </c>
      <c r="H129" s="15" t="n">
        <v>13</v>
      </c>
      <c r="I129" s="15" t="n">
        <v>145.3</v>
      </c>
      <c r="J129" s="15" t="n">
        <v>99.59999999999999</v>
      </c>
      <c r="K129" s="15" t="n">
        <v>11.1</v>
      </c>
      <c r="L129" s="15" t="n">
        <v>160</v>
      </c>
      <c r="M129" s="15" t="n">
        <v>-33</v>
      </c>
      <c r="N129" s="15" t="n"/>
      <c r="O129" s="15" t="n"/>
      <c r="P129" s="15" t="n">
        <v>-0.15</v>
      </c>
      <c r="Q129" s="15" t="n">
        <v>0.44</v>
      </c>
      <c r="R129" s="15" t="n">
        <v>-0.39</v>
      </c>
      <c r="S129" s="15" t="n"/>
      <c r="T129" s="15" t="n"/>
      <c r="U129" s="15" t="n">
        <v>-0.23</v>
      </c>
      <c r="V129" s="15" t="inlineStr">
        <is>
          <t>Rookie/new to league</t>
        </is>
      </c>
      <c r="W129" s="16" t="inlineStr">
        <is>
          <t>New play-caller: Todd Monken. New starting QB: unsettled QB competition. Arrivals in the room: Denzel Boston.</t>
        </is>
      </c>
      <c r="X129" s="17" t="n"/>
      <c r="Y129" s="18">
        <f>IFS(X129="","",X129="Very undervalued",2, X129="Undervalued",1, X129="Evenly valued",0, X129="Overvalued",-1, X129="Very overvalued",-2,TRUE,"")</f>
        <v/>
      </c>
      <c r="Z129" s="17" t="n"/>
      <c r="AA129" s="17" t="n"/>
      <c r="AB129" s="19" t="n"/>
      <c r="AC129" s="19" t="n"/>
    </row>
    <row r="130">
      <c r="A130" s="15" t="n">
        <v>128</v>
      </c>
      <c r="B130" s="15" t="inlineStr">
        <is>
          <t>Jalen Coker</t>
        </is>
      </c>
      <c r="C130" s="15" t="inlineStr">
        <is>
          <t>WR</t>
        </is>
      </c>
      <c r="D130" s="15" t="inlineStr">
        <is>
          <t>CAR</t>
        </is>
      </c>
      <c r="E130" s="15" t="n">
        <v>5</v>
      </c>
      <c r="F130" s="15" t="inlineStr"/>
      <c r="G130" s="15" t="n">
        <v>127.3</v>
      </c>
      <c r="H130" s="15" t="n">
        <v>13</v>
      </c>
      <c r="I130" s="15" t="n">
        <v>152.9</v>
      </c>
      <c r="J130" s="15" t="n">
        <v>96</v>
      </c>
      <c r="K130" s="15" t="n">
        <v>11</v>
      </c>
      <c r="L130" s="15" t="n">
        <v>156</v>
      </c>
      <c r="M130" s="15" t="n">
        <v>-28</v>
      </c>
      <c r="N130" s="15" t="n">
        <v>0.18</v>
      </c>
      <c r="O130" s="15" t="n">
        <v>0.02</v>
      </c>
      <c r="P130" s="15" t="n">
        <v>0.32</v>
      </c>
      <c r="Q130" s="15" t="n">
        <v>-0.13</v>
      </c>
      <c r="R130" s="15" t="n">
        <v>0.32</v>
      </c>
      <c r="S130" s="15" t="n">
        <v>0</v>
      </c>
      <c r="T130" s="15" t="n">
        <v>0.36</v>
      </c>
      <c r="U130" s="15" t="n">
        <v>-0.39</v>
      </c>
      <c r="V130" s="15" t="inlineStr">
        <is>
          <t>Room change</t>
        </is>
      </c>
      <c r="W130" s="16" t="inlineStr">
        <is>
          <t>Arrivals in the room: John Metchie III.</t>
        </is>
      </c>
      <c r="X130" s="17" t="n"/>
      <c r="Y130" s="18">
        <f>IFS(X130="","",X130="Very undervalued",2, X130="Undervalued",1, X130="Evenly valued",0, X130="Overvalued",-1, X130="Very overvalued",-2,TRUE,"")</f>
        <v/>
      </c>
      <c r="Z130" s="17" t="n"/>
      <c r="AA130" s="17" t="n"/>
      <c r="AB130" s="19" t="n"/>
      <c r="AC130" s="19" t="n"/>
    </row>
    <row r="131">
      <c r="A131" s="15" t="n">
        <v>129</v>
      </c>
      <c r="B131" s="15" t="inlineStr">
        <is>
          <t>Mike Washington Jr.</t>
        </is>
      </c>
      <c r="C131" s="15" t="inlineStr">
        <is>
          <t>RB</t>
        </is>
      </c>
      <c r="D131" s="15" t="inlineStr">
        <is>
          <t>LV</t>
        </is>
      </c>
      <c r="E131" s="15" t="n">
        <v>13</v>
      </c>
      <c r="F131" s="15" t="inlineStr">
        <is>
          <t>Yes</t>
        </is>
      </c>
      <c r="G131" s="15" t="n">
        <v>127.8</v>
      </c>
      <c r="H131" s="15" t="n">
        <v>13</v>
      </c>
      <c r="I131" s="15" t="n">
        <v>77.40000000000001</v>
      </c>
      <c r="J131" s="15" t="n">
        <v>54.1</v>
      </c>
      <c r="K131" s="15" t="n">
        <v>11.4</v>
      </c>
      <c r="L131" s="15" t="n">
        <v>254</v>
      </c>
      <c r="M131" s="15" t="n">
        <v>-125</v>
      </c>
      <c r="N131" s="15" t="n"/>
      <c r="O131" s="15" t="n"/>
      <c r="P131" s="15" t="n">
        <v>-0.42</v>
      </c>
      <c r="Q131" s="15" t="n">
        <v>0.45</v>
      </c>
      <c r="R131" s="15" t="n">
        <v>-0.42</v>
      </c>
      <c r="S131" s="15" t="n"/>
      <c r="T131" s="15" t="n"/>
      <c r="U131" s="15" t="n">
        <v>-0.15</v>
      </c>
      <c r="V131" s="15" t="inlineStr">
        <is>
          <t>Rookie/new to league</t>
        </is>
      </c>
      <c r="W131" s="16" t="inlineStr">
        <is>
          <t>New play-caller: Klint Kubiak. New starting QB: Fernando Mendoza.</t>
        </is>
      </c>
      <c r="X131" s="17" t="n"/>
      <c r="Y131" s="18">
        <f>IFS(X131="","",X131="Very undervalued",2, X131="Undervalued",1, X131="Evenly valued",0, X131="Overvalued",-1, X131="Very overvalued",-2,TRUE,"")</f>
        <v/>
      </c>
      <c r="Z131" s="17" t="n"/>
      <c r="AA131" s="17" t="n"/>
      <c r="AB131" s="19" t="n"/>
      <c r="AC131" s="19" t="n"/>
    </row>
    <row r="132">
      <c r="A132" s="15" t="n">
        <v>130</v>
      </c>
      <c r="B132" s="15" t="inlineStr">
        <is>
          <t>LA Rams Defense</t>
        </is>
      </c>
      <c r="C132" s="15" t="inlineStr">
        <is>
          <t>DEF</t>
        </is>
      </c>
      <c r="D132" s="15" t="inlineStr">
        <is>
          <t>LAR</t>
        </is>
      </c>
      <c r="E132" s="15" t="n"/>
      <c r="F132" s="15" t="inlineStr"/>
      <c r="G132" s="15" t="n">
        <v>128</v>
      </c>
      <c r="H132" s="15" t="n">
        <v>13</v>
      </c>
      <c r="I132" s="15" t="n"/>
      <c r="J132" s="15" t="n"/>
      <c r="K132" s="15" t="n"/>
      <c r="L132" s="15" t="n"/>
      <c r="M132" s="15" t="n"/>
      <c r="N132" s="15" t="n"/>
      <c r="O132" s="15" t="n"/>
      <c r="P132" s="15" t="n"/>
      <c r="Q132" s="15" t="n"/>
      <c r="R132" s="15" t="n"/>
      <c r="S132" s="15" t="n"/>
      <c r="T132" s="15" t="n"/>
      <c r="U132" s="15" t="n"/>
      <c r="V132" s="15" t="inlineStr"/>
      <c r="W132" s="16" t="inlineStr"/>
      <c r="X132" s="17" t="n"/>
      <c r="Y132" s="18">
        <f>IFS(X132="","",X132="Very undervalued",2, X132="Undervalued",1, X132="Evenly valued",0, X132="Overvalued",-1, X132="Very overvalued",-2,TRUE,"")</f>
        <v/>
      </c>
      <c r="Z132" s="17" t="n"/>
      <c r="AA132" s="17" t="n"/>
      <c r="AB132" s="19" t="n"/>
      <c r="AC132" s="19" t="n"/>
    </row>
    <row r="133">
      <c r="A133" s="15" t="n">
        <v>131</v>
      </c>
      <c r="B133" s="15" t="inlineStr">
        <is>
          <t>Jake Ferguson</t>
        </is>
      </c>
      <c r="C133" s="15" t="inlineStr">
        <is>
          <t>TE</t>
        </is>
      </c>
      <c r="D133" s="15" t="inlineStr">
        <is>
          <t>DAL</t>
        </is>
      </c>
      <c r="E133" s="15" t="n">
        <v>14</v>
      </c>
      <c r="F133" s="15" t="inlineStr"/>
      <c r="G133" s="15" t="n">
        <v>129.2</v>
      </c>
      <c r="H133" s="15" t="n">
        <v>13</v>
      </c>
      <c r="I133" s="15" t="n">
        <v>168</v>
      </c>
      <c r="J133" s="15" t="n">
        <v>139.8</v>
      </c>
      <c r="K133" s="15" t="n">
        <v>13.5</v>
      </c>
      <c r="L133" s="15" t="n">
        <v>73</v>
      </c>
      <c r="M133" s="15" t="n">
        <v>58</v>
      </c>
      <c r="N133" s="15" t="n">
        <v>0.18</v>
      </c>
      <c r="O133" s="15" t="n">
        <v>0.21</v>
      </c>
      <c r="P133" s="15" t="n">
        <v>-0.31</v>
      </c>
      <c r="Q133" s="15" t="n">
        <v>0.38</v>
      </c>
      <c r="R133" s="15" t="n">
        <v>-0.38</v>
      </c>
      <c r="S133" s="15" t="n">
        <v>0.29</v>
      </c>
      <c r="T133" s="15" t="n">
        <v>0.18</v>
      </c>
      <c r="U133" s="15" t="n">
        <v>0.38</v>
      </c>
      <c r="V133" s="15" t="inlineStr"/>
      <c r="W133" s="16" t="inlineStr"/>
      <c r="X133" s="17" t="n"/>
      <c r="Y133" s="18">
        <f>IFS(X133="","",X133="Very undervalued",2, X133="Undervalued",1, X133="Evenly valued",0, X133="Overvalued",-1, X133="Very overvalued",-2,TRUE,"")</f>
        <v/>
      </c>
      <c r="Z133" s="17" t="n"/>
      <c r="AA133" s="17" t="n"/>
      <c r="AB133" s="19" t="n"/>
      <c r="AC133" s="19" t="n"/>
    </row>
    <row r="134">
      <c r="A134" s="15" t="n">
        <v>132</v>
      </c>
      <c r="B134" s="15" t="inlineStr">
        <is>
          <t>Tre' Harris</t>
        </is>
      </c>
      <c r="C134" s="15" t="inlineStr">
        <is>
          <t>WR</t>
        </is>
      </c>
      <c r="D134" s="15" t="inlineStr">
        <is>
          <t>LAC</t>
        </is>
      </c>
      <c r="E134" s="15" t="n">
        <v>7</v>
      </c>
      <c r="F134" s="15" t="inlineStr"/>
      <c r="G134" s="15" t="n">
        <v>129.8</v>
      </c>
      <c r="H134" s="15" t="n">
        <v>13</v>
      </c>
      <c r="I134" s="15" t="n">
        <v>89.5</v>
      </c>
      <c r="J134" s="15" t="n">
        <v>74.3</v>
      </c>
      <c r="K134" s="15" t="n">
        <v>13.5</v>
      </c>
      <c r="L134" s="15" t="n">
        <v>247</v>
      </c>
      <c r="M134" s="15" t="n">
        <v>-115</v>
      </c>
      <c r="N134" s="15" t="n">
        <v>-0.01</v>
      </c>
      <c r="O134" s="15" t="n">
        <v>0.09</v>
      </c>
      <c r="P134" s="15" t="n">
        <v>0.37</v>
      </c>
      <c r="Q134" s="15" t="n">
        <v>-0.13</v>
      </c>
      <c r="R134" s="15" t="n">
        <v>0.37</v>
      </c>
      <c r="S134" s="15" t="n">
        <v>0</v>
      </c>
      <c r="T134" s="15" t="n">
        <v>0.75</v>
      </c>
      <c r="U134" s="15" t="n">
        <v>0.29</v>
      </c>
      <c r="V134" s="15" t="inlineStr">
        <is>
          <t>Context</t>
        </is>
      </c>
      <c r="W134" s="16" t="inlineStr">
        <is>
          <t>New play-caller: Mike McDaniel.</t>
        </is>
      </c>
      <c r="X134" s="17" t="n"/>
      <c r="Y134" s="18">
        <f>IFS(X134="","",X134="Very undervalued",2, X134="Undervalued",1, X134="Evenly valued",0, X134="Overvalued",-1, X134="Very overvalued",-2,TRUE,"")</f>
        <v/>
      </c>
      <c r="Z134" s="17" t="n"/>
      <c r="AA134" s="17" t="n"/>
      <c r="AB134" s="19" t="n"/>
      <c r="AC134" s="19" t="n"/>
    </row>
    <row r="135">
      <c r="A135" s="15" t="n">
        <v>133</v>
      </c>
      <c r="B135" s="15" t="inlineStr">
        <is>
          <t>Brandon Aubrey</t>
        </is>
      </c>
      <c r="C135" s="15" t="inlineStr">
        <is>
          <t>PK</t>
        </is>
      </c>
      <c r="D135" s="15" t="inlineStr">
        <is>
          <t>DAL</t>
        </is>
      </c>
      <c r="E135" s="15" t="n">
        <v>14</v>
      </c>
      <c r="F135" s="15" t="inlineStr"/>
      <c r="G135" s="15" t="n">
        <v>129.9</v>
      </c>
      <c r="H135" s="15" t="n">
        <v>13</v>
      </c>
      <c r="I135" s="15" t="n">
        <v>153</v>
      </c>
      <c r="J135" s="15" t="n"/>
      <c r="K135" s="15" t="n"/>
      <c r="L135" s="15" t="n">
        <v>47</v>
      </c>
      <c r="M135" s="15" t="n">
        <v>86</v>
      </c>
      <c r="N135" s="15" t="n"/>
      <c r="O135" s="15" t="n"/>
      <c r="P135" s="15" t="n"/>
      <c r="Q135" s="15" t="n"/>
      <c r="R135" s="15" t="n"/>
      <c r="S135" s="15" t="n"/>
      <c r="T135" s="15" t="n"/>
      <c r="U135" s="15" t="n"/>
      <c r="V135" s="15" t="inlineStr"/>
      <c r="W135" s="16" t="inlineStr"/>
      <c r="X135" s="17" t="n"/>
      <c r="Y135" s="18">
        <f>IFS(X135="","",X135="Very undervalued",2, X135="Undervalued",1, X135="Evenly valued",0, X135="Overvalued",-1, X135="Very overvalued",-2,TRUE,"")</f>
        <v/>
      </c>
      <c r="Z135" s="17" t="n"/>
      <c r="AA135" s="17" t="n"/>
      <c r="AB135" s="19" t="n"/>
      <c r="AC135" s="19" t="n"/>
    </row>
    <row r="136">
      <c r="A136" s="15" t="n">
        <v>134</v>
      </c>
      <c r="B136" s="15" t="inlineStr">
        <is>
          <t>Baker Mayfield</t>
        </is>
      </c>
      <c r="C136" s="15" t="inlineStr">
        <is>
          <t>QB</t>
        </is>
      </c>
      <c r="D136" s="15" t="inlineStr">
        <is>
          <t>TB</t>
        </is>
      </c>
      <c r="E136" s="15" t="n">
        <v>10</v>
      </c>
      <c r="F136" s="15" t="inlineStr"/>
      <c r="G136" s="15" t="n">
        <v>130.8</v>
      </c>
      <c r="H136" s="15" t="n">
        <v>14</v>
      </c>
      <c r="I136" s="15" t="n">
        <v>269.1</v>
      </c>
      <c r="J136" s="15" t="n">
        <v>214.4</v>
      </c>
      <c r="K136" s="15" t="n">
        <v>13.8</v>
      </c>
      <c r="L136" s="15" t="n">
        <v>113</v>
      </c>
      <c r="M136" s="15" t="n">
        <v>21</v>
      </c>
      <c r="N136" s="15" t="n">
        <v>-0</v>
      </c>
      <c r="O136" s="15" t="n">
        <v>0.01</v>
      </c>
      <c r="P136" s="15" t="n">
        <v>-0.33</v>
      </c>
      <c r="Q136" s="15" t="n">
        <v>0.2</v>
      </c>
      <c r="R136" s="15" t="n">
        <v>-0.2</v>
      </c>
      <c r="S136" s="15" t="n">
        <v>0.06</v>
      </c>
      <c r="T136" s="15" t="n">
        <v>0.24</v>
      </c>
      <c r="U136" s="15" t="n">
        <v>0.27</v>
      </c>
      <c r="V136" s="15" t="inlineStr">
        <is>
          <t>Context</t>
        </is>
      </c>
      <c r="W136" s="16" t="inlineStr">
        <is>
          <t>New play-caller: Zac Robinson.</t>
        </is>
      </c>
      <c r="X136" s="17" t="n"/>
      <c r="Y136" s="18">
        <f>IFS(X136="","",X136="Very undervalued",2, X136="Undervalued",1, X136="Evenly valued",0, X136="Overvalued",-1, X136="Very overvalued",-2,TRUE,"")</f>
        <v/>
      </c>
      <c r="Z136" s="17" t="n"/>
      <c r="AA136" s="17" t="n"/>
      <c r="AB136" s="19" t="n"/>
      <c r="AC136" s="19" t="n"/>
    </row>
    <row r="137">
      <c r="A137" s="15" t="n">
        <v>135</v>
      </c>
      <c r="B137" s="15" t="inlineStr">
        <is>
          <t>Jacksonville Defense</t>
        </is>
      </c>
      <c r="C137" s="15" t="inlineStr">
        <is>
          <t>DEF</t>
        </is>
      </c>
      <c r="D137" s="15" t="inlineStr">
        <is>
          <t>JAX</t>
        </is>
      </c>
      <c r="E137" s="15" t="n"/>
      <c r="F137" s="15" t="inlineStr"/>
      <c r="G137" s="15" t="n">
        <v>131.4</v>
      </c>
      <c r="H137" s="15" t="n">
        <v>14</v>
      </c>
      <c r="I137" s="15" t="n"/>
      <c r="J137" s="15" t="n"/>
      <c r="K137" s="15" t="n"/>
      <c r="L137" s="15" t="n"/>
      <c r="M137" s="15" t="n"/>
      <c r="N137" s="15" t="n"/>
      <c r="O137" s="15" t="n"/>
      <c r="P137" s="15" t="n"/>
      <c r="Q137" s="15" t="n"/>
      <c r="R137" s="15" t="n"/>
      <c r="S137" s="15" t="n"/>
      <c r="T137" s="15" t="n"/>
      <c r="U137" s="15" t="n"/>
      <c r="V137" s="15" t="inlineStr"/>
      <c r="W137" s="16" t="inlineStr"/>
      <c r="X137" s="17" t="n"/>
      <c r="Y137" s="18">
        <f>IFS(X137="","",X137="Very undervalued",2, X137="Undervalued",1, X137="Evenly valued",0, X137="Overvalued",-1, X137="Very overvalued",-2,TRUE,"")</f>
        <v/>
      </c>
      <c r="Z137" s="17" t="n"/>
      <c r="AA137" s="17" t="n"/>
      <c r="AB137" s="19" t="n"/>
      <c r="AC137" s="19" t="n"/>
    </row>
    <row r="138">
      <c r="A138" s="15" t="n">
        <v>136</v>
      </c>
      <c r="B138" s="15" t="inlineStr">
        <is>
          <t>Jayden Higgins</t>
        </is>
      </c>
      <c r="C138" s="15" t="inlineStr">
        <is>
          <t>WR</t>
        </is>
      </c>
      <c r="D138" s="15" t="inlineStr">
        <is>
          <t>HOU</t>
        </is>
      </c>
      <c r="E138" s="15" t="n">
        <v>8</v>
      </c>
      <c r="F138" s="15" t="inlineStr"/>
      <c r="G138" s="15" t="n">
        <v>131.5</v>
      </c>
      <c r="H138" s="15" t="n">
        <v>14</v>
      </c>
      <c r="I138" s="15" t="n">
        <v>138</v>
      </c>
      <c r="J138" s="15" t="n">
        <v>116.5</v>
      </c>
      <c r="K138" s="15" t="n">
        <v>14</v>
      </c>
      <c r="L138" s="15" t="n">
        <v>174</v>
      </c>
      <c r="M138" s="15" t="n">
        <v>-38</v>
      </c>
      <c r="N138" s="15" t="n">
        <v>0.25</v>
      </c>
      <c r="O138" s="15" t="n">
        <v>0.07000000000000001</v>
      </c>
      <c r="P138" s="15" t="n">
        <v>-0.24</v>
      </c>
      <c r="Q138" s="15" t="n">
        <v>-0.15</v>
      </c>
      <c r="R138" s="15" t="n">
        <v>-0.02</v>
      </c>
      <c r="S138" s="15" t="n">
        <v>0</v>
      </c>
      <c r="T138" s="15" t="n">
        <v>0.41</v>
      </c>
      <c r="U138" s="15" t="n">
        <v>0.49</v>
      </c>
      <c r="V138" s="15" t="inlineStr">
        <is>
          <t>Room change</t>
        </is>
      </c>
      <c r="W138" s="16" t="inlineStr">
        <is>
          <t>Arrivals in the room: Tank Dell. Departures: Christian Kirk.</t>
        </is>
      </c>
      <c r="X138" s="17" t="n"/>
      <c r="Y138" s="18">
        <f>IFS(X138="","",X138="Very undervalued",2, X138="Undervalued",1, X138="Evenly valued",0, X138="Overvalued",-1, X138="Very overvalued",-2,TRUE,"")</f>
        <v/>
      </c>
      <c r="Z138" s="17" t="n"/>
      <c r="AA138" s="17" t="n"/>
      <c r="AB138" s="19" t="n"/>
      <c r="AC138" s="19" t="n"/>
    </row>
    <row r="139">
      <c r="A139" s="15" t="n">
        <v>137</v>
      </c>
      <c r="B139" s="15" t="inlineStr">
        <is>
          <t>Jaydon Blue</t>
        </is>
      </c>
      <c r="C139" s="15" t="inlineStr">
        <is>
          <t>RB</t>
        </is>
      </c>
      <c r="D139" s="15" t="inlineStr">
        <is>
          <t>DAL</t>
        </is>
      </c>
      <c r="E139" s="15" t="n">
        <v>14</v>
      </c>
      <c r="F139" s="15" t="inlineStr"/>
      <c r="G139" s="15" t="n">
        <v>132.4</v>
      </c>
      <c r="H139" s="15" t="n">
        <v>14</v>
      </c>
      <c r="I139" s="15" t="n">
        <v>35.3</v>
      </c>
      <c r="J139" s="15" t="n">
        <v>15.4</v>
      </c>
      <c r="K139" s="15" t="n">
        <v>7.1</v>
      </c>
      <c r="L139" s="15" t="n">
        <v>363</v>
      </c>
      <c r="M139" s="15" t="n">
        <v>-226</v>
      </c>
      <c r="N139" s="15" t="n">
        <v>0.03</v>
      </c>
      <c r="O139" s="15" t="n">
        <v>0.03</v>
      </c>
      <c r="P139" s="15" t="n">
        <v>0.45</v>
      </c>
      <c r="Q139" s="15" t="n">
        <v>0.35</v>
      </c>
      <c r="R139" s="15" t="n">
        <v>0.29</v>
      </c>
      <c r="S139" s="15" t="n">
        <v>0</v>
      </c>
      <c r="T139" s="15" t="n">
        <v>0.8</v>
      </c>
      <c r="U139" s="15" t="n">
        <v>-0.44</v>
      </c>
      <c r="V139" s="15" t="inlineStr"/>
      <c r="W139" s="16" t="inlineStr"/>
      <c r="X139" s="17" t="n"/>
      <c r="Y139" s="18">
        <f>IFS(X139="","",X139="Very undervalued",2, X139="Undervalued",1, X139="Evenly valued",0, X139="Overvalued",-1, X139="Very overvalued",-2,TRUE,"")</f>
        <v/>
      </c>
      <c r="Z139" s="17" t="n"/>
      <c r="AA139" s="17" t="n"/>
      <c r="AB139" s="19" t="n"/>
      <c r="AC139" s="19" t="n"/>
    </row>
    <row r="140">
      <c r="A140" s="15" t="n">
        <v>138</v>
      </c>
      <c r="B140" s="15" t="inlineStr">
        <is>
          <t>Minnesota Defense</t>
        </is>
      </c>
      <c r="C140" s="15" t="inlineStr">
        <is>
          <t>DEF</t>
        </is>
      </c>
      <c r="D140" s="15" t="inlineStr">
        <is>
          <t>MIN</t>
        </is>
      </c>
      <c r="E140" s="15" t="n"/>
      <c r="F140" s="15" t="inlineStr"/>
      <c r="G140" s="15" t="n">
        <v>133.2</v>
      </c>
      <c r="H140" s="15" t="n">
        <v>14</v>
      </c>
      <c r="I140" s="15" t="n"/>
      <c r="J140" s="15" t="n"/>
      <c r="K140" s="15" t="n"/>
      <c r="L140" s="15" t="n"/>
      <c r="M140" s="15" t="n"/>
      <c r="N140" s="15" t="n"/>
      <c r="O140" s="15" t="n"/>
      <c r="P140" s="15" t="n"/>
      <c r="Q140" s="15" t="n"/>
      <c r="R140" s="15" t="n"/>
      <c r="S140" s="15" t="n"/>
      <c r="T140" s="15" t="n"/>
      <c r="U140" s="15" t="n"/>
      <c r="V140" s="15" t="inlineStr"/>
      <c r="W140" s="16" t="inlineStr"/>
      <c r="X140" s="17" t="n"/>
      <c r="Y140" s="18">
        <f>IFS(X140="","",X140="Very undervalued",2, X140="Undervalued",1, X140="Evenly valued",0, X140="Overvalued",-1, X140="Very overvalued",-2,TRUE,"")</f>
        <v/>
      </c>
      <c r="Z140" s="17" t="n"/>
      <c r="AA140" s="17" t="n"/>
      <c r="AB140" s="19" t="n"/>
      <c r="AC140" s="19" t="n"/>
    </row>
    <row r="141">
      <c r="A141" s="15" t="n">
        <v>139</v>
      </c>
      <c r="B141" s="15" t="inlineStr">
        <is>
          <t>Detroit Defense</t>
        </is>
      </c>
      <c r="C141" s="15" t="inlineStr">
        <is>
          <t>DEF</t>
        </is>
      </c>
      <c r="D141" s="15" t="inlineStr">
        <is>
          <t>DET</t>
        </is>
      </c>
      <c r="E141" s="15" t="n"/>
      <c r="F141" s="15" t="inlineStr"/>
      <c r="G141" s="15" t="n">
        <v>134.8</v>
      </c>
      <c r="H141" s="15" t="n">
        <v>14</v>
      </c>
      <c r="I141" s="15" t="n"/>
      <c r="J141" s="15" t="n"/>
      <c r="K141" s="15" t="n"/>
      <c r="L141" s="15" t="n"/>
      <c r="M141" s="15" t="n"/>
      <c r="N141" s="15" t="n"/>
      <c r="O141" s="15" t="n"/>
      <c r="P141" s="15" t="n"/>
      <c r="Q141" s="15" t="n"/>
      <c r="R141" s="15" t="n"/>
      <c r="S141" s="15" t="n"/>
      <c r="T141" s="15" t="n"/>
      <c r="U141" s="15" t="n"/>
      <c r="V141" s="15" t="inlineStr"/>
      <c r="W141" s="16" t="inlineStr"/>
      <c r="X141" s="17" t="n"/>
      <c r="Y141" s="18">
        <f>IFS(X141="","",X141="Very undervalued",2, X141="Undervalued",1, X141="Evenly valued",0, X141="Overvalued",-1, X141="Very overvalued",-2,TRUE,"")</f>
        <v/>
      </c>
      <c r="Z141" s="17" t="n"/>
      <c r="AA141" s="17" t="n"/>
      <c r="AB141" s="19" t="n"/>
      <c r="AC141" s="19" t="n"/>
    </row>
    <row r="142">
      <c r="A142" s="15" t="n">
        <v>140</v>
      </c>
      <c r="B142" s="15" t="inlineStr">
        <is>
          <t>Tre Tucker</t>
        </is>
      </c>
      <c r="C142" s="15" t="inlineStr">
        <is>
          <t>WR</t>
        </is>
      </c>
      <c r="D142" s="15" t="inlineStr">
        <is>
          <t>LV</t>
        </is>
      </c>
      <c r="E142" s="15" t="n">
        <v>13</v>
      </c>
      <c r="F142" s="15" t="inlineStr"/>
      <c r="G142" s="15" t="n">
        <v>135.6</v>
      </c>
      <c r="H142" s="15" t="n">
        <v>14</v>
      </c>
      <c r="I142" s="15" t="n">
        <v>142.5</v>
      </c>
      <c r="J142" s="15" t="n">
        <v>114.3</v>
      </c>
      <c r="K142" s="15" t="n">
        <v>13.8</v>
      </c>
      <c r="L142" s="15" t="n">
        <v>165</v>
      </c>
      <c r="M142" s="15" t="n">
        <v>-25</v>
      </c>
      <c r="N142" s="15" t="n">
        <v>0.17</v>
      </c>
      <c r="O142" s="15" t="n">
        <v>0.08</v>
      </c>
      <c r="P142" s="15" t="n">
        <v>-0.34</v>
      </c>
      <c r="Q142" s="15" t="n">
        <v>-0.15</v>
      </c>
      <c r="R142" s="15" t="n">
        <v>-0.1</v>
      </c>
      <c r="S142" s="15" t="n">
        <v>0.06</v>
      </c>
      <c r="T142" s="15" t="n">
        <v>0.47</v>
      </c>
      <c r="U142" s="15" t="n">
        <v>0.46</v>
      </c>
      <c r="V142" s="15" t="inlineStr">
        <is>
          <t>Room change</t>
        </is>
      </c>
      <c r="W142" s="16" t="inlineStr">
        <is>
          <t>New play-caller: Klint Kubiak. New starting QB: Fernando Mendoza. Arrivals in the room: Jalen Nailor.</t>
        </is>
      </c>
      <c r="X142" s="17" t="n"/>
      <c r="Y142" s="18">
        <f>IFS(X142="","",X142="Very undervalued",2, X142="Undervalued",1, X142="Evenly valued",0, X142="Overvalued",-1, X142="Very overvalued",-2,TRUE,"")</f>
        <v/>
      </c>
      <c r="Z142" s="17" t="n"/>
      <c r="AA142" s="17" t="n"/>
      <c r="AB142" s="19" t="n"/>
      <c r="AC142" s="19" t="n"/>
    </row>
    <row r="143">
      <c r="A143" s="15" t="n">
        <v>141</v>
      </c>
      <c r="B143" s="15" t="inlineStr">
        <is>
          <t>Mark Andrews</t>
        </is>
      </c>
      <c r="C143" s="15" t="inlineStr">
        <is>
          <t>TE</t>
        </is>
      </c>
      <c r="D143" s="15" t="inlineStr">
        <is>
          <t>BAL</t>
        </is>
      </c>
      <c r="E143" s="15" t="n">
        <v>13</v>
      </c>
      <c r="F143" s="15" t="inlineStr"/>
      <c r="G143" s="15" t="n">
        <v>136.6</v>
      </c>
      <c r="H143" s="15" t="n">
        <v>14</v>
      </c>
      <c r="I143" s="15" t="n">
        <v>164.7</v>
      </c>
      <c r="J143" s="15" t="n">
        <v>113.5</v>
      </c>
      <c r="K143" s="15" t="n">
        <v>13.2</v>
      </c>
      <c r="L143" s="15" t="n">
        <v>85</v>
      </c>
      <c r="M143" s="15" t="n">
        <v>56</v>
      </c>
      <c r="N143" s="15" t="n">
        <v>0.16</v>
      </c>
      <c r="O143" s="15" t="n">
        <v>0.43</v>
      </c>
      <c r="P143" s="15" t="n">
        <v>-0.23</v>
      </c>
      <c r="Q143" s="15" t="n">
        <v>-0.27</v>
      </c>
      <c r="R143" s="15" t="n">
        <v>0.08</v>
      </c>
      <c r="S143" s="15" t="n">
        <v>0.18</v>
      </c>
      <c r="T143" s="15" t="n">
        <v>0.35</v>
      </c>
      <c r="U143" s="15" t="n">
        <v>0.31</v>
      </c>
      <c r="V143" s="15" t="inlineStr">
        <is>
          <t>Room change</t>
        </is>
      </c>
      <c r="W143" s="16" t="inlineStr">
        <is>
          <t>New play-caller: Declan Doyle. Departures: Isaiah Likely.</t>
        </is>
      </c>
      <c r="X143" s="17" t="n"/>
      <c r="Y143" s="18">
        <f>IFS(X143="","",X143="Very undervalued",2, X143="Undervalued",1, X143="Evenly valued",0, X143="Overvalued",-1, X143="Very overvalued",-2,TRUE,"")</f>
        <v/>
      </c>
      <c r="Z143" s="17" t="n"/>
      <c r="AA143" s="17" t="n"/>
      <c r="AB143" s="19" t="n"/>
      <c r="AC143" s="19" t="n"/>
    </row>
    <row r="144">
      <c r="A144" s="15" t="n">
        <v>142</v>
      </c>
      <c r="B144" s="15" t="inlineStr">
        <is>
          <t>New England Defense</t>
        </is>
      </c>
      <c r="C144" s="15" t="inlineStr">
        <is>
          <t>DEF</t>
        </is>
      </c>
      <c r="D144" s="15" t="inlineStr">
        <is>
          <t>NE</t>
        </is>
      </c>
      <c r="E144" s="15" t="n"/>
      <c r="F144" s="15" t="inlineStr"/>
      <c r="G144" s="15" t="n">
        <v>137.4</v>
      </c>
      <c r="H144" s="15" t="n">
        <v>14</v>
      </c>
      <c r="I144" s="15" t="n"/>
      <c r="J144" s="15" t="n"/>
      <c r="K144" s="15" t="n"/>
      <c r="L144" s="15" t="n"/>
      <c r="M144" s="15" t="n"/>
      <c r="N144" s="15" t="n"/>
      <c r="O144" s="15" t="n"/>
      <c r="P144" s="15" t="n"/>
      <c r="Q144" s="15" t="n"/>
      <c r="R144" s="15" t="n"/>
      <c r="S144" s="15" t="n"/>
      <c r="T144" s="15" t="n"/>
      <c r="U144" s="15" t="n"/>
      <c r="V144" s="15" t="inlineStr"/>
      <c r="W144" s="16" t="inlineStr"/>
      <c r="X144" s="17" t="n"/>
      <c r="Y144" s="18">
        <f>IFS(X144="","",X144="Very undervalued",2, X144="Undervalued",1, X144="Evenly valued",0, X144="Overvalued",-1, X144="Very overvalued",-2,TRUE,"")</f>
        <v/>
      </c>
      <c r="Z144" s="17" t="n"/>
      <c r="AA144" s="17" t="n"/>
      <c r="AB144" s="19" t="n"/>
      <c r="AC144" s="19" t="n"/>
    </row>
    <row r="145">
      <c r="A145" s="15" t="n">
        <v>143</v>
      </c>
      <c r="B145" s="15" t="inlineStr">
        <is>
          <t>Jalen McMillan</t>
        </is>
      </c>
      <c r="C145" s="15" t="inlineStr">
        <is>
          <t>WR</t>
        </is>
      </c>
      <c r="D145" s="15" t="inlineStr">
        <is>
          <t>TB</t>
        </is>
      </c>
      <c r="E145" s="15" t="n">
        <v>10</v>
      </c>
      <c r="F145" s="15" t="inlineStr"/>
      <c r="G145" s="15" t="n">
        <v>137.6</v>
      </c>
      <c r="H145" s="15" t="n">
        <v>14</v>
      </c>
      <c r="I145" s="15" t="n">
        <v>133.6</v>
      </c>
      <c r="J145" s="15" t="n">
        <v>91.5</v>
      </c>
      <c r="K145" s="15" t="n">
        <v>11.1</v>
      </c>
      <c r="L145" s="15" t="n">
        <v>178</v>
      </c>
      <c r="M145" s="15" t="n">
        <v>-35</v>
      </c>
      <c r="N145" s="15" t="n">
        <v>-0.08</v>
      </c>
      <c r="O145" s="15" t="n">
        <v>0.21</v>
      </c>
      <c r="P145" s="15" t="n">
        <v>-0.07000000000000001</v>
      </c>
      <c r="Q145" s="15" t="n">
        <v>0.34</v>
      </c>
      <c r="R145" s="15" t="n">
        <v>-0.39</v>
      </c>
      <c r="S145" s="15" t="n">
        <v>0</v>
      </c>
      <c r="T145" s="15" t="n">
        <v>0.75</v>
      </c>
      <c r="U145" s="15" t="n">
        <v>-0.24</v>
      </c>
      <c r="V145" s="15" t="inlineStr">
        <is>
          <t>Room change</t>
        </is>
      </c>
      <c r="W145" s="16" t="inlineStr">
        <is>
          <t>New play-caller: Zac Robinson. Departures: Mike Evans.</t>
        </is>
      </c>
      <c r="X145" s="17" t="n"/>
      <c r="Y145" s="18">
        <f>IFS(X145="","",X145="Very undervalued",2, X145="Undervalued",1, X145="Evenly valued",0, X145="Overvalued",-1, X145="Very overvalued",-2,TRUE,"")</f>
        <v/>
      </c>
      <c r="Z145" s="17" t="n"/>
      <c r="AA145" s="17" t="n"/>
      <c r="AB145" s="19" t="n"/>
      <c r="AC145" s="19" t="n"/>
    </row>
    <row r="146">
      <c r="A146" s="15" t="n">
        <v>144</v>
      </c>
      <c r="B146" s="15" t="inlineStr">
        <is>
          <t>Tyler Shough</t>
        </is>
      </c>
      <c r="C146" s="15" t="inlineStr">
        <is>
          <t>QB</t>
        </is>
      </c>
      <c r="D146" s="15" t="inlineStr">
        <is>
          <t>NO</t>
        </is>
      </c>
      <c r="E146" s="15" t="n">
        <v>8</v>
      </c>
      <c r="F146" s="15" t="inlineStr"/>
      <c r="G146" s="15" t="n">
        <v>138.4</v>
      </c>
      <c r="H146" s="15" t="n">
        <v>14</v>
      </c>
      <c r="I146" s="15" t="n">
        <v>274.4</v>
      </c>
      <c r="J146" s="15" t="n">
        <v>186.4</v>
      </c>
      <c r="K146" s="15" t="n">
        <v>11.4</v>
      </c>
      <c r="L146" s="15" t="n">
        <v>107</v>
      </c>
      <c r="M146" s="15" t="n">
        <v>37</v>
      </c>
      <c r="N146" s="15" t="n">
        <v>0.12</v>
      </c>
      <c r="O146" s="15" t="n">
        <v>0.39</v>
      </c>
      <c r="P146" s="15" t="n">
        <v>0.27</v>
      </c>
      <c r="Q146" s="15" t="n">
        <v>-0.27</v>
      </c>
      <c r="R146" s="15" t="n">
        <v>0.27</v>
      </c>
      <c r="S146" s="15" t="n">
        <v>0</v>
      </c>
      <c r="T146" s="15" t="n">
        <v>0.36</v>
      </c>
      <c r="U146" s="15" t="n">
        <v>-0.33</v>
      </c>
      <c r="V146" s="15" t="inlineStr">
        <is>
          <t>Room change</t>
        </is>
      </c>
      <c r="W146" s="16" t="inlineStr">
        <is>
          <t>Departures: Spencer Rattler.</t>
        </is>
      </c>
      <c r="X146" s="17" t="n"/>
      <c r="Y146" s="18">
        <f>IFS(X146="","",X146="Very undervalued",2, X146="Undervalued",1, X146="Evenly valued",0, X146="Overvalued",-1, X146="Very overvalued",-2,TRUE,"")</f>
        <v/>
      </c>
      <c r="Z146" s="17" t="n"/>
      <c r="AA146" s="17" t="n"/>
      <c r="AB146" s="19" t="n"/>
      <c r="AC146" s="19" t="n"/>
    </row>
    <row r="147">
      <c r="A147" s="15" t="n">
        <v>145</v>
      </c>
      <c r="B147" s="15" t="inlineStr">
        <is>
          <t>Philadelphia Defense</t>
        </is>
      </c>
      <c r="C147" s="15" t="inlineStr">
        <is>
          <t>DEF</t>
        </is>
      </c>
      <c r="D147" s="15" t="inlineStr">
        <is>
          <t>PHI</t>
        </is>
      </c>
      <c r="E147" s="15" t="n"/>
      <c r="F147" s="15" t="inlineStr"/>
      <c r="G147" s="15" t="n">
        <v>138.6</v>
      </c>
      <c r="H147" s="15" t="n">
        <v>14</v>
      </c>
      <c r="I147" s="15" t="n"/>
      <c r="J147" s="15" t="n"/>
      <c r="K147" s="15" t="n"/>
      <c r="L147" s="15" t="n"/>
      <c r="M147" s="15" t="n"/>
      <c r="N147" s="15" t="n"/>
      <c r="O147" s="15" t="n"/>
      <c r="P147" s="15" t="n"/>
      <c r="Q147" s="15" t="n"/>
      <c r="R147" s="15" t="n"/>
      <c r="S147" s="15" t="n"/>
      <c r="T147" s="15" t="n"/>
      <c r="U147" s="15" t="n"/>
      <c r="V147" s="15" t="inlineStr"/>
      <c r="W147" s="16" t="inlineStr"/>
      <c r="X147" s="17" t="n"/>
      <c r="Y147" s="18">
        <f>IFS(X147="","",X147="Very undervalued",2, X147="Undervalued",1, X147="Evenly valued",0, X147="Overvalued",-1, X147="Very overvalued",-2,TRUE,"")</f>
        <v/>
      </c>
      <c r="Z147" s="17" t="n"/>
      <c r="AA147" s="17" t="n"/>
      <c r="AB147" s="19" t="n"/>
      <c r="AC147" s="19" t="n"/>
    </row>
    <row r="148">
      <c r="A148" s="15" t="n">
        <v>146</v>
      </c>
      <c r="B148" s="15" t="inlineStr">
        <is>
          <t>Jauan Jennings</t>
        </is>
      </c>
      <c r="C148" s="15" t="inlineStr">
        <is>
          <t>WR</t>
        </is>
      </c>
      <c r="D148" s="15" t="inlineStr">
        <is>
          <t>MIN</t>
        </is>
      </c>
      <c r="E148" s="15" t="n">
        <v>6</v>
      </c>
      <c r="F148" s="15" t="inlineStr"/>
      <c r="G148" s="15" t="n">
        <v>138.8</v>
      </c>
      <c r="H148" s="15" t="n">
        <v>14</v>
      </c>
      <c r="I148" s="15" t="n">
        <v>134.2</v>
      </c>
      <c r="J148" s="15" t="n">
        <v>103.3</v>
      </c>
      <c r="K148" s="15" t="n">
        <v>12.6</v>
      </c>
      <c r="L148" s="15" t="n">
        <v>177</v>
      </c>
      <c r="M148" s="15" t="n">
        <v>-31</v>
      </c>
      <c r="N148" s="15" t="n">
        <v>0.31</v>
      </c>
      <c r="O148" s="15" t="n">
        <v>-0.16</v>
      </c>
      <c r="P148" s="15" t="n">
        <v>0.1</v>
      </c>
      <c r="Q148" s="15" t="n">
        <v>-0.15</v>
      </c>
      <c r="R148" s="15" t="n">
        <v>0.17</v>
      </c>
      <c r="S148" s="15" t="n">
        <v>0</v>
      </c>
      <c r="T148" s="15" t="n">
        <v>0.13</v>
      </c>
      <c r="U148" s="15" t="n">
        <v>0.05</v>
      </c>
      <c r="V148" s="15" t="inlineStr">
        <is>
          <t>New team</t>
        </is>
      </c>
      <c r="W148" s="16" t="inlineStr">
        <is>
          <t>Moved from SF to MIN. New starting QB: Kyler Murray. Departures: Jalen Nailor.</t>
        </is>
      </c>
      <c r="X148" s="17" t="n"/>
      <c r="Y148" s="18">
        <f>IFS(X148="","",X148="Very undervalued",2, X148="Undervalued",1, X148="Evenly valued",0, X148="Overvalued",-1, X148="Very overvalued",-2,TRUE,"")</f>
        <v/>
      </c>
      <c r="Z148" s="17" t="n"/>
      <c r="AA148" s="17" t="n"/>
      <c r="AB148" s="19" t="n"/>
      <c r="AC148" s="19" t="n"/>
    </row>
    <row r="149">
      <c r="A149" s="15" t="n">
        <v>147</v>
      </c>
      <c r="B149" s="15" t="inlineStr">
        <is>
          <t>Theo Wease Jr.</t>
        </is>
      </c>
      <c r="C149" s="15" t="inlineStr">
        <is>
          <t>WR</t>
        </is>
      </c>
      <c r="D149" s="15" t="inlineStr">
        <is>
          <t>MIA</t>
        </is>
      </c>
      <c r="E149" s="15" t="n">
        <v>6</v>
      </c>
      <c r="F149" s="15" t="inlineStr"/>
      <c r="G149" s="15" t="n">
        <v>138.9</v>
      </c>
      <c r="H149" s="15" t="n">
        <v>14</v>
      </c>
      <c r="I149" s="15" t="n">
        <v>145.3</v>
      </c>
      <c r="J149" s="15" t="n">
        <v>59</v>
      </c>
      <c r="K149" s="15" t="n">
        <v>6.6</v>
      </c>
      <c r="L149" s="15" t="n">
        <v>161</v>
      </c>
      <c r="M149" s="15" t="n">
        <v>-14</v>
      </c>
      <c r="N149" s="15" t="n">
        <v>0.27</v>
      </c>
      <c r="O149" s="15" t="n">
        <v>0.33</v>
      </c>
      <c r="P149" s="15" t="n">
        <v>0.49</v>
      </c>
      <c r="Q149" s="15" t="n">
        <v>-0.15</v>
      </c>
      <c r="R149" s="15" t="n">
        <v>0.49</v>
      </c>
      <c r="S149" s="15" t="n">
        <v>0</v>
      </c>
      <c r="T149" s="15" t="n">
        <v>0.33</v>
      </c>
      <c r="U149" s="15" t="n">
        <v>-0.49</v>
      </c>
      <c r="V149" s="15" t="inlineStr">
        <is>
          <t>Room change</t>
        </is>
      </c>
      <c r="W149" s="16" t="inlineStr">
        <is>
          <t>New play-caller: Bobby Slowik. New starting QB: Malik Willis. Departures: Jaylen Waddle.</t>
        </is>
      </c>
      <c r="X149" s="17" t="n"/>
      <c r="Y149" s="18">
        <f>IFS(X149="","",X149="Very undervalued",2, X149="Undervalued",1, X149="Evenly valued",0, X149="Overvalued",-1, X149="Very overvalued",-2,TRUE,"")</f>
        <v/>
      </c>
      <c r="Z149" s="17" t="n"/>
      <c r="AA149" s="17" t="n"/>
      <c r="AB149" s="19" t="n"/>
      <c r="AC149" s="19" t="n"/>
    </row>
    <row r="150">
      <c r="A150" s="15" t="n">
        <v>148</v>
      </c>
      <c r="B150" s="15" t="inlineStr">
        <is>
          <t>Kyler Murray</t>
        </is>
      </c>
      <c r="C150" s="15" t="inlineStr">
        <is>
          <t>QB</t>
        </is>
      </c>
      <c r="D150" s="15" t="inlineStr">
        <is>
          <t>MIN</t>
        </is>
      </c>
      <c r="E150" s="15" t="n">
        <v>6</v>
      </c>
      <c r="F150" s="15" t="inlineStr"/>
      <c r="G150" s="15" t="n">
        <v>139</v>
      </c>
      <c r="H150" s="15" t="n">
        <v>14</v>
      </c>
      <c r="I150" s="15" t="n">
        <v>261.9</v>
      </c>
      <c r="J150" s="15" t="n">
        <v>123.2</v>
      </c>
      <c r="K150" s="15" t="n">
        <v>7.7</v>
      </c>
      <c r="L150" s="15" t="n">
        <v>119</v>
      </c>
      <c r="M150" s="15" t="n">
        <v>29</v>
      </c>
      <c r="N150" s="15" t="n">
        <v>0.1</v>
      </c>
      <c r="O150" s="15" t="n">
        <v>0.75</v>
      </c>
      <c r="P150" s="15" t="n">
        <v>0.33</v>
      </c>
      <c r="Q150" s="15" t="n">
        <v>-0.4</v>
      </c>
      <c r="R150" s="15" t="n">
        <v>0.33</v>
      </c>
      <c r="S150" s="15" t="n">
        <v>0</v>
      </c>
      <c r="T150" s="15" t="n">
        <v>0</v>
      </c>
      <c r="U150" s="15" t="n">
        <v>-0.4</v>
      </c>
      <c r="V150" s="15" t="inlineStr">
        <is>
          <t>New team</t>
        </is>
      </c>
      <c r="W150" s="16" t="inlineStr">
        <is>
          <t>Moved from ARI to MIN. New starting QB: Kyler Murray. Departures: Carson Wentz. new starting QB for MIN — a situation change for Jefferson/Addison, and the ARI side too [RotoWire/Yahoo]</t>
        </is>
      </c>
      <c r="X150" s="17" t="n"/>
      <c r="Y150" s="18">
        <f>IFS(X150="","",X150="Very undervalued",2, X150="Undervalued",1, X150="Evenly valued",0, X150="Overvalued",-1, X150="Very overvalued",-2,TRUE,"")</f>
        <v/>
      </c>
      <c r="Z150" s="17" t="n"/>
      <c r="AA150" s="17" t="n"/>
      <c r="AB150" s="19" t="n"/>
      <c r="AC150" s="19" t="n"/>
    </row>
    <row r="151">
      <c r="A151" s="15" t="n">
        <v>149</v>
      </c>
      <c r="B151" s="15" t="inlineStr">
        <is>
          <t>Calvin Ridley</t>
        </is>
      </c>
      <c r="C151" s="15" t="inlineStr">
        <is>
          <t>WR</t>
        </is>
      </c>
      <c r="D151" s="15" t="inlineStr">
        <is>
          <t>TEN</t>
        </is>
      </c>
      <c r="E151" s="15" t="n">
        <v>9</v>
      </c>
      <c r="F151" s="15" t="inlineStr"/>
      <c r="G151" s="15" t="n">
        <v>140</v>
      </c>
      <c r="H151" s="15" t="n">
        <v>14</v>
      </c>
      <c r="I151" s="15" t="n">
        <v>152.3</v>
      </c>
      <c r="J151" s="15" t="n">
        <v>104.4</v>
      </c>
      <c r="K151" s="15" t="n">
        <v>11.1</v>
      </c>
      <c r="L151" s="15" t="n">
        <v>158</v>
      </c>
      <c r="M151" s="15" t="n">
        <v>-9</v>
      </c>
      <c r="N151" s="15" t="n">
        <v>-0.06</v>
      </c>
      <c r="O151" s="15" t="n">
        <v>0.17</v>
      </c>
      <c r="P151" s="15" t="n">
        <v>-0.12</v>
      </c>
      <c r="Q151" s="15" t="n">
        <v>0.22</v>
      </c>
      <c r="R151" s="15" t="n">
        <v>-0.32</v>
      </c>
      <c r="S151" s="15" t="n">
        <v>0</v>
      </c>
      <c r="T151" s="15" t="n">
        <v>0.57</v>
      </c>
      <c r="U151" s="15" t="n">
        <v>-0.26</v>
      </c>
      <c r="V151" s="15" t="inlineStr">
        <is>
          <t>Room change</t>
        </is>
      </c>
      <c r="W151" s="16" t="inlineStr">
        <is>
          <t>New play-caller: Brian Daboll. Arrivals in the room: Carnell Tate, Wan'Dale Robinson.</t>
        </is>
      </c>
      <c r="X151" s="17" t="n"/>
      <c r="Y151" s="18">
        <f>IFS(X151="","",X151="Very undervalued",2, X151="Undervalued",1, X151="Evenly valued",0, X151="Overvalued",-1, X151="Very overvalued",-2,TRUE,"")</f>
        <v/>
      </c>
      <c r="Z151" s="17" t="n"/>
      <c r="AA151" s="17" t="n"/>
      <c r="AB151" s="19" t="n"/>
      <c r="AC151" s="19" t="n"/>
    </row>
    <row r="152">
      <c r="A152" s="15" t="n">
        <v>150</v>
      </c>
      <c r="B152" s="15" t="inlineStr">
        <is>
          <t>Jordan Love</t>
        </is>
      </c>
      <c r="C152" s="15" t="inlineStr">
        <is>
          <t>QB</t>
        </is>
      </c>
      <c r="D152" s="15" t="inlineStr">
        <is>
          <t>GB</t>
        </is>
      </c>
      <c r="E152" s="15" t="n">
        <v>11</v>
      </c>
      <c r="F152" s="15" t="inlineStr"/>
      <c r="G152" s="15" t="n">
        <v>140.8</v>
      </c>
      <c r="H152" s="15" t="n">
        <v>15</v>
      </c>
      <c r="I152" s="15" t="n">
        <v>256.9</v>
      </c>
      <c r="J152" s="15" t="n">
        <v>204.4</v>
      </c>
      <c r="K152" s="15" t="n">
        <v>13.3</v>
      </c>
      <c r="L152" s="15" t="n">
        <v>126</v>
      </c>
      <c r="M152" s="15" t="n">
        <v>24</v>
      </c>
      <c r="N152" s="15" t="n">
        <v>-0.05</v>
      </c>
      <c r="O152" s="15" t="n">
        <v>0.17</v>
      </c>
      <c r="P152" s="15" t="n">
        <v>-0.2</v>
      </c>
      <c r="Q152" s="15" t="n">
        <v>0.07000000000000001</v>
      </c>
      <c r="R152" s="15" t="n">
        <v>-0.2</v>
      </c>
      <c r="S152" s="15" t="n">
        <v>0.2</v>
      </c>
      <c r="T152" s="15" t="n">
        <v>0.33</v>
      </c>
      <c r="U152" s="15" t="n">
        <v>0.13</v>
      </c>
      <c r="V152" s="15" t="inlineStr">
        <is>
          <t>Room change</t>
        </is>
      </c>
      <c r="W152" s="16" t="inlineStr">
        <is>
          <t>Departures: Malik Willis.</t>
        </is>
      </c>
      <c r="X152" s="17" t="n"/>
      <c r="Y152" s="18">
        <f>IFS(X152="","",X152="Very undervalued",2, X152="Undervalued",1, X152="Evenly valued",0, X152="Overvalued",-1, X152="Very overvalued",-2,TRUE,"")</f>
        <v/>
      </c>
      <c r="Z152" s="17" t="n"/>
      <c r="AA152" s="17" t="n"/>
      <c r="AB152" s="19" t="n"/>
      <c r="AC152" s="19" t="n"/>
    </row>
  </sheetData>
  <autoFilter ref="A2:AC152"/>
  <mergeCells count="6">
    <mergeCell ref="X1:AC1"/>
    <mergeCell ref="I1:O1"/>
    <mergeCell ref="P1:U1"/>
    <mergeCell ref="G1:H1"/>
    <mergeCell ref="A1:F1"/>
    <mergeCell ref="V1:W1"/>
  </mergeCells>
  <conditionalFormatting sqref="X3:X152">
    <cfRule type="cellIs" priority="1" operator="equal" dxfId="0">
      <formula>"Very undervalued"</formula>
    </cfRule>
    <cfRule type="cellIs" priority="2" operator="equal" dxfId="1">
      <formula>"Undervalued"</formula>
    </cfRule>
    <cfRule type="cellIs" priority="3" operator="equal" dxfId="2">
      <formula>"Evenly valued"</formula>
    </cfRule>
    <cfRule type="cellIs" priority="4" operator="equal" dxfId="3">
      <formula>"Overvalued"</formula>
    </cfRule>
    <cfRule type="cellIs" priority="5" operator="equal" dxfId="4">
      <formula>"Very overvalued"</formula>
    </cfRule>
  </conditionalFormatting>
  <dataValidations count="2">
    <dataValidation sqref="X3:X152" showDropDown="0" showInputMessage="0" showErrorMessage="0" allowBlank="1" type="list">
      <formula1>"Very undervalued,Undervalued,Evenly valued,Overvalued,Very overvalued"</formula1>
    </dataValidation>
    <dataValidation sqref="AA3:AA152" showDropDown="0" showInputMessage="0" showErrorMessage="0" allowBlank="1" type="list">
      <formula1>"1,2,3,4,5"</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2026-08-02T05:08:40Z</dcterms:created>
  <dcterms:modified xmlns:dcterms="http://purl.org/dc/terms/" xmlns:xsi="http://www.w3.org/2001/XMLSchema-instance" xsi:type="dcterms:W3CDTF">2026-08-02T05:08:40Z</dcterms:modified>
</cp:coreProperties>
</file>